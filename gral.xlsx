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aedf507cb59cd2ab/Desktop/mapas/APP VENTA BIEN RAIZ/"/>
    </mc:Choice>
  </mc:AlternateContent>
  <xr:revisionPtr revIDLastSave="3" documentId="8_{E15EAF8E-9E80-4850-B28D-1FD5C3DED39F}" xr6:coauthVersionLast="47" xr6:coauthVersionMax="47" xr10:uidLastSave="{05746D92-DD26-4C64-A7C5-82285D41F3E9}"/>
  <bookViews>
    <workbookView xWindow="-110" yWindow="-110" windowWidth="19420" windowHeight="10300" xr2:uid="{8F74DAA9-D63A-46F1-A91E-CF8F7D4A727F}"/>
  </bookViews>
  <sheets>
    <sheet name="DEPARTAMENTOS" sheetId="3" r:id="rId1"/>
    <sheet name="municipio" sheetId="5" r:id="rId2"/>
    <sheet name="DISTRITOS" sheetId="4" r:id="rId3"/>
    <sheet name="UNIONDEPTO" sheetId="6" r:id="rId4"/>
    <sheet name="N TRIBUTARIO" sheetId="7" r:id="rId5"/>
    <sheet name="14 LU" sheetId="8" r:id="rId6"/>
    <sheet name="DEPT" sheetId="9" r:id="rId7"/>
    <sheet name="1 ahu" sheetId="10" r:id="rId8"/>
    <sheet name="2 sa" sheetId="11" r:id="rId9"/>
    <sheet name="3 son " sheetId="12" r:id="rId10"/>
    <sheet name="4 cha" sheetId="13" r:id="rId11"/>
    <sheet name="5 LL" sheetId="14" r:id="rId12"/>
    <sheet name="6 ss" sheetId="15" r:id="rId13"/>
    <sheet name="7 cus" sheetId="16" r:id="rId14"/>
    <sheet name="8 lp" sheetId="17" r:id="rId15"/>
    <sheet name="9 cab" sheetId="18" r:id="rId16"/>
    <sheet name="10 sv" sheetId="19" r:id="rId17"/>
    <sheet name="11 usu" sheetId="20" r:id="rId18"/>
    <sheet name="12 sm" sheetId="21" r:id="rId19"/>
    <sheet name="13 mor" sheetId="22" r:id="rId20"/>
  </sheets>
  <externalReferences>
    <externalReference r:id="rId21"/>
    <externalReference r:id="rId22"/>
  </externalReferences>
  <definedNames>
    <definedName name="AÑO" localSheetId="7">'1 ahu'!$D:$D</definedName>
    <definedName name="AÑO" localSheetId="16">'10 sv'!$D:$D</definedName>
    <definedName name="AÑO" localSheetId="17">'11 usu'!$D:$D</definedName>
    <definedName name="AÑO" localSheetId="18">'12 sm'!$D:$D</definedName>
    <definedName name="AÑO" localSheetId="19">'13 mor'!$D:$D</definedName>
    <definedName name="AÑO" localSheetId="5">'14 LU'!$D:$D</definedName>
    <definedName name="AÑO" localSheetId="8">'2 sa'!$D:$D</definedName>
    <definedName name="AÑO" localSheetId="10">'4 cha'!$D:$D</definedName>
    <definedName name="AÑO" localSheetId="11">'5 LL'!$D:$D</definedName>
    <definedName name="AÑO" localSheetId="13">'7 cus'!$D:$D</definedName>
    <definedName name="AÑO" localSheetId="14">'8 lp'!$D:$D</definedName>
    <definedName name="AÑO" localSheetId="15">'9 cab'!$D:$D</definedName>
    <definedName name="AÑO">'N TRIBUTARIO'!$D:$D</definedName>
    <definedName name="AREAKM2" localSheetId="7">'1 ahu'!$AB:$AB</definedName>
    <definedName name="AREAKM2" localSheetId="16">'10 sv'!$AB:$AB</definedName>
    <definedName name="AREAKM2" localSheetId="17">'11 usu'!$AB:$AB</definedName>
    <definedName name="AREAKM2" localSheetId="18">'12 sm'!$AB:$AB</definedName>
    <definedName name="AREAKM2" localSheetId="19">'13 mor'!$AB:$AB</definedName>
    <definedName name="AREAKM2" localSheetId="5">'14 LU'!$AB:$AB</definedName>
    <definedName name="AREAKM2" localSheetId="8">'2 sa'!$AB:$AB</definedName>
    <definedName name="AREAKM2" localSheetId="10">'4 cha'!$AB:$AB</definedName>
    <definedName name="AREAKM2" localSheetId="11">'5 LL'!$AB:$AB</definedName>
    <definedName name="AREAKM2" localSheetId="13">'7 cus'!$AB:$AB</definedName>
    <definedName name="AREAKM2" localSheetId="14">'8 lp'!$AB:$AB</definedName>
    <definedName name="AREAKM2" localSheetId="15">'9 cab'!$AB:$AB</definedName>
    <definedName name="AREAKM2">'N TRIBUTARIO'!$AA:$AA</definedName>
    <definedName name="CODIGO" localSheetId="7">'1 ahu'!$F:$F</definedName>
    <definedName name="CODIGO" localSheetId="16">'10 sv'!$F:$F</definedName>
    <definedName name="CODIGO" localSheetId="17">'11 usu'!$F:$F</definedName>
    <definedName name="CODIGO" localSheetId="18">'12 sm'!$F:$F</definedName>
    <definedName name="CODIGO" localSheetId="19">'13 mor'!$F:$F</definedName>
    <definedName name="CODIGO" localSheetId="5">'14 LU'!$F:$F</definedName>
    <definedName name="CODIGO" localSheetId="8">'2 sa'!$F:$F</definedName>
    <definedName name="CODIGO" localSheetId="10">'4 cha'!$F:$F</definedName>
    <definedName name="CODIGO" localSheetId="11">'5 LL'!$F:$F</definedName>
    <definedName name="CODIGO" localSheetId="13">'7 cus'!$F:$F</definedName>
    <definedName name="CODIGO" localSheetId="14">'8 lp'!$F:$F</definedName>
    <definedName name="CODIGO" localSheetId="15">'9 cab'!$F:$F</definedName>
    <definedName name="CODIGO">'N TRIBUTARIO'!$F:$F</definedName>
    <definedName name="CODNOMZ" localSheetId="7">'1 ahu'!$AA:$AA</definedName>
    <definedName name="CODNOMZ" localSheetId="16">'10 sv'!$AA:$AA</definedName>
    <definedName name="CODNOMZ" localSheetId="17">'11 usu'!$AA:$AA</definedName>
    <definedName name="CODNOMZ" localSheetId="18">'12 sm'!$AA:$AA</definedName>
    <definedName name="CODNOMZ" localSheetId="19">'13 mor'!$AA:$AA</definedName>
    <definedName name="CODNOMZ" localSheetId="5">'14 LU'!$AA:$AA</definedName>
    <definedName name="CODNOMZ" localSheetId="8">'2 sa'!$AA:$AA</definedName>
    <definedName name="CODNOMZ" localSheetId="10">'4 cha'!$AA:$AA</definedName>
    <definedName name="CODNOMZ" localSheetId="11">'5 LL'!$AA:$AA</definedName>
    <definedName name="CODNOMZ" localSheetId="13">'7 cus'!$AA:$AA</definedName>
    <definedName name="CODNOMZ" localSheetId="14">'8 lp'!$AA:$AA</definedName>
    <definedName name="CODNOMZ" localSheetId="15">'9 cab'!$AA:$AA</definedName>
    <definedName name="CODNOMZ">'N TRIBUTARIO'!$Z:$Z</definedName>
    <definedName name="CODZONA" localSheetId="7">'1 ahu'!$A$1:$AD$13</definedName>
    <definedName name="CODZONA" localSheetId="16">'10 sv'!$A$1:$AD$14</definedName>
    <definedName name="CODZONA" localSheetId="17">'11 usu'!$A$1:$AD$24</definedName>
    <definedName name="CODZONA" localSheetId="18">'12 sm'!$A$1:$AD$21</definedName>
    <definedName name="CODZONA" localSheetId="19">'13 mor'!$A$1:$AD$27</definedName>
    <definedName name="CODZONA" localSheetId="5">'14 LU'!$A$1:$AD$19</definedName>
    <definedName name="CODZONA" localSheetId="8">'2 sa'!$A$1:$AD$14</definedName>
    <definedName name="CODZONA" localSheetId="10">'4 cha'!$A$1:$AD$34</definedName>
    <definedName name="CODZONA" localSheetId="11">'5 LL'!$A$1:$AD$23</definedName>
    <definedName name="CODZONA" localSheetId="13">'7 cus'!$A$1:$AD$17</definedName>
    <definedName name="CODZONA" localSheetId="14">'8 lp'!$A$1:$AD$23</definedName>
    <definedName name="CODZONA" localSheetId="15">'9 cab'!$A$1:$AD$10</definedName>
    <definedName name="CODZONA">'N TRIBUTARIO'!$A$1:$AC$263</definedName>
    <definedName name="CORRELATIVO" localSheetId="7">'1 ahu'!$H:$H</definedName>
    <definedName name="CORRELATIVO" localSheetId="16">'10 sv'!$H:$H</definedName>
    <definedName name="CORRELATIVO" localSheetId="17">'11 usu'!$H:$H</definedName>
    <definedName name="CORRELATIVO" localSheetId="18">'12 sm'!$H:$H</definedName>
    <definedName name="CORRELATIVO" localSheetId="19">'13 mor'!$H:$H</definedName>
    <definedName name="CORRELATIVO" localSheetId="5">'14 LU'!$H:$H</definedName>
    <definedName name="CORRELATIVO" localSheetId="8">'2 sa'!$H:$H</definedName>
    <definedName name="CORRELATIVO" localSheetId="10">'4 cha'!$H:$H</definedName>
    <definedName name="CORRELATIVO" localSheetId="11">'5 LL'!$H:$H</definedName>
    <definedName name="CORRELATIVO" localSheetId="13">'7 cus'!$H:$H</definedName>
    <definedName name="CORRELATIVO" localSheetId="14">'8 lp'!$H:$H</definedName>
    <definedName name="CORRELATIVO" localSheetId="15">'9 cab'!$H:$H</definedName>
    <definedName name="CORRELATIVO">'N TRIBUTARIO'!$H:$H</definedName>
    <definedName name="DENSIDADHABKM2" localSheetId="7">'1 ahu'!$AD:$AD</definedName>
    <definedName name="DENSIDADHABKM2" localSheetId="16">'10 sv'!$AD:$AD</definedName>
    <definedName name="DENSIDADHABKM2" localSheetId="17">'11 usu'!$AD:$AD</definedName>
    <definedName name="DENSIDADHABKM2" localSheetId="18">'12 sm'!$AD:$AD</definedName>
    <definedName name="DENSIDADHABKM2" localSheetId="19">'13 mor'!$AD:$AD</definedName>
    <definedName name="DENSIDADHABKM2" localSheetId="5">'14 LU'!$AD:$AD</definedName>
    <definedName name="DENSIDADHABKM2" localSheetId="8">'2 sa'!$AD:$AD</definedName>
    <definedName name="DENSIDADHABKM2" localSheetId="10">'4 cha'!$AD:$AD</definedName>
    <definedName name="DENSIDADHABKM2" localSheetId="11">'5 LL'!$AD:$AD</definedName>
    <definedName name="DENSIDADHABKM2" localSheetId="13">'7 cus'!$AD:$AD</definedName>
    <definedName name="DENSIDADHABKM2" localSheetId="14">'8 lp'!$AD:$AD</definedName>
    <definedName name="DENSIDADHABKM2" localSheetId="15">'9 cab'!$AD:$AD</definedName>
    <definedName name="DENSIDADHABKM2">'N TRIBUTARIO'!$AC:$AC</definedName>
    <definedName name="DEPARTAMENTO">DEPARTAMENTOS!$B:$B</definedName>
    <definedName name="DIA">#REF!</definedName>
    <definedName name="DISTCODZ" localSheetId="7">'1 ahu'!$W:$W</definedName>
    <definedName name="DISTCODZ" localSheetId="16">'10 sv'!$W:$W</definedName>
    <definedName name="DISTCODZ" localSheetId="17">'11 usu'!$W:$W</definedName>
    <definedName name="DISTCODZ" localSheetId="18">'12 sm'!$W:$W</definedName>
    <definedName name="DISTCODZ" localSheetId="19">'13 mor'!$W:$W</definedName>
    <definedName name="DISTCODZ" localSheetId="5">'14 LU'!$W:$W</definedName>
    <definedName name="DISTCODZ" localSheetId="8">'2 sa'!$W:$W</definedName>
    <definedName name="DISTCODZ" localSheetId="10">'4 cha'!$W:$W</definedName>
    <definedName name="DISTCODZ" localSheetId="11">'5 LL'!$W:$W</definedName>
    <definedName name="DISTCODZ" localSheetId="13">'7 cus'!$W:$W</definedName>
    <definedName name="DISTCODZ" localSheetId="14">'8 lp'!$W:$W</definedName>
    <definedName name="DISTCODZ" localSheetId="15">'9 cab'!$W:$W</definedName>
    <definedName name="DISTCODZ">'N TRIBUTARIO'!$V:$V</definedName>
    <definedName name="DISTRITO">DISTRITOS!$B:$B</definedName>
    <definedName name="ESPACIO" localSheetId="7">'1 ahu'!$V:$V</definedName>
    <definedName name="ESPACIO" localSheetId="16">'10 sv'!$V:$V</definedName>
    <definedName name="ESPACIO" localSheetId="17">'11 usu'!$V:$V</definedName>
    <definedName name="ESPACIO" localSheetId="18">'12 sm'!$V:$V</definedName>
    <definedName name="ESPACIO" localSheetId="19">'13 mor'!$V:$V</definedName>
    <definedName name="ESPACIO" localSheetId="5">'14 LU'!$V:$V</definedName>
    <definedName name="ESPACIO" localSheetId="8">'2 sa'!$V:$V</definedName>
    <definedName name="ESPACIO" localSheetId="10">'4 cha'!$V:$V</definedName>
    <definedName name="ESPACIO" localSheetId="11">'5 LL'!$V:$V</definedName>
    <definedName name="ESPACIO" localSheetId="13">'7 cus'!$V:$V</definedName>
    <definedName name="ESPACIO" localSheetId="14">'8 lp'!$V:$V</definedName>
    <definedName name="ESPACIO" localSheetId="15">'9 cab'!$V:$V</definedName>
    <definedName name="ESPACIO">'N TRIBUTARIO'!$U:$U</definedName>
    <definedName name="FECHA" localSheetId="7">'1 ahu'!$B:$B</definedName>
    <definedName name="FECHA" localSheetId="16">'10 sv'!$B:$B</definedName>
    <definedName name="FECHA" localSheetId="17">'11 usu'!$B:$B</definedName>
    <definedName name="FECHA" localSheetId="18">'12 sm'!$B:$B</definedName>
    <definedName name="FECHA" localSheetId="19">'13 mor'!$B:$B</definedName>
    <definedName name="FECHA" localSheetId="5">'14 LU'!$B:$B</definedName>
    <definedName name="FECHA" localSheetId="8">'2 sa'!$B:$B</definedName>
    <definedName name="FECHA" localSheetId="10">'4 cha'!$B:$B</definedName>
    <definedName name="FECHA" localSheetId="11">'5 LL'!$B:$B</definedName>
    <definedName name="FECHA" localSheetId="13">'7 cus'!$B:$B</definedName>
    <definedName name="FECHA" localSheetId="14">'8 lp'!$B:$B</definedName>
    <definedName name="FECHA" localSheetId="15">'9 cab'!$B:$B</definedName>
    <definedName name="FECHA">'N TRIBUTARIO'!$B:$B</definedName>
    <definedName name="GUION" localSheetId="7">'1 ahu'!$U:$U</definedName>
    <definedName name="GUION" localSheetId="16">'10 sv'!$U:$U</definedName>
    <definedName name="GUION" localSheetId="17">'11 usu'!$U:$U</definedName>
    <definedName name="GUION" localSheetId="18">'12 sm'!$U:$U</definedName>
    <definedName name="GUION" localSheetId="19">'13 mor'!$U:$U</definedName>
    <definedName name="GUION" localSheetId="5">'14 LU'!$U:$U</definedName>
    <definedName name="GUION" localSheetId="8">'2 sa'!$U:$U</definedName>
    <definedName name="GUION" localSheetId="10">'4 cha'!$U:$U</definedName>
    <definedName name="GUION" localSheetId="11">'5 LL'!$U:$U</definedName>
    <definedName name="GUION" localSheetId="13">'7 cus'!$U:$U</definedName>
    <definedName name="GUION" localSheetId="14">'8 lp'!$U:$U</definedName>
    <definedName name="GUION" localSheetId="15">'9 cab'!$U:$U</definedName>
    <definedName name="GUION">'N TRIBUTARIO'!$T:$T</definedName>
    <definedName name="ITEMDISTRITO">DISTRITOS!$A:$A</definedName>
    <definedName name="ITEMUNICIPIO">municipio!$A:$A</definedName>
    <definedName name="MES" localSheetId="7">'1 ahu'!$C:$C</definedName>
    <definedName name="MES" localSheetId="16">'10 sv'!$C:$C</definedName>
    <definedName name="MES" localSheetId="17">'11 usu'!$C:$C</definedName>
    <definedName name="MES" localSheetId="18">'12 sm'!$C:$C</definedName>
    <definedName name="MES" localSheetId="19">'13 mor'!$C:$C</definedName>
    <definedName name="MES" localSheetId="5">'14 LU'!$C:$C</definedName>
    <definedName name="MES" localSheetId="8">'2 sa'!$C:$C</definedName>
    <definedName name="MES" localSheetId="10">'4 cha'!$C:$C</definedName>
    <definedName name="MES" localSheetId="11">'5 LL'!$C:$C</definedName>
    <definedName name="MES" localSheetId="13">'7 cus'!$C:$C</definedName>
    <definedName name="MES" localSheetId="14">'8 lp'!$C:$C</definedName>
    <definedName name="MES" localSheetId="15">'9 cab'!$C:$C</definedName>
    <definedName name="MES">'N TRIBUTARIO'!$C:$C</definedName>
    <definedName name="MUNICIPIO">municipio!$B:$B</definedName>
    <definedName name="NIT" localSheetId="7">'1 ahu'!$X:$X</definedName>
    <definedName name="NIT" localSheetId="16">'10 sv'!$X:$X</definedName>
    <definedName name="NIT" localSheetId="17">'11 usu'!$X:$X</definedName>
    <definedName name="NIT" localSheetId="18">'12 sm'!$X:$X</definedName>
    <definedName name="NIT" localSheetId="19">'13 mor'!$X:$X</definedName>
    <definedName name="NIT" localSheetId="5">'14 LU'!$X:$X</definedName>
    <definedName name="NIT" localSheetId="8">'2 sa'!$X:$X</definedName>
    <definedName name="NIT" localSheetId="10">'4 cha'!$X:$X</definedName>
    <definedName name="NIT" localSheetId="11">'5 LL'!$X:$X</definedName>
    <definedName name="NIT" localSheetId="13">'7 cus'!$X:$X</definedName>
    <definedName name="NIT" localSheetId="14">'8 lp'!$X:$X</definedName>
    <definedName name="NIT" localSheetId="15">'9 cab'!$X:$X</definedName>
    <definedName name="NIT">'N TRIBUTARIO'!$W:$W</definedName>
    <definedName name="NITDISTNOMZONA" localSheetId="7">'1 ahu'!$Z:$Z</definedName>
    <definedName name="NITDISTNOMZONA" localSheetId="16">'10 sv'!$Z:$Z</definedName>
    <definedName name="NITDISTNOMZONA" localSheetId="17">'11 usu'!$Z:$Z</definedName>
    <definedName name="NITDISTNOMZONA" localSheetId="18">'12 sm'!$Z:$Z</definedName>
    <definedName name="NITDISTNOMZONA" localSheetId="19">'13 mor'!$Z:$Z</definedName>
    <definedName name="NITDISTNOMZONA" localSheetId="5">'14 LU'!$Z:$Z</definedName>
    <definedName name="NITDISTNOMZONA" localSheetId="8">'2 sa'!$Z:$Z</definedName>
    <definedName name="NITDISTNOMZONA" localSheetId="10">'4 cha'!$Z:$Z</definedName>
    <definedName name="NITDISTNOMZONA" localSheetId="11">'5 LL'!$Z:$Z</definedName>
    <definedName name="NITDISTNOMZONA" localSheetId="13">'7 cus'!$Z:$Z</definedName>
    <definedName name="NITDISTNOMZONA" localSheetId="14">'8 lp'!$Z:$Z</definedName>
    <definedName name="NITDISTNOMZONA" localSheetId="15">'9 cab'!$Z:$Z</definedName>
    <definedName name="NITDISTNOMZONA">'N TRIBUTARIO'!$Y:$Y</definedName>
    <definedName name="NOMBREDEPARTAMENTO" localSheetId="7">'1 ahu'!$M:$M</definedName>
    <definedName name="NOMBREDEPARTAMENTO" localSheetId="16">'10 sv'!$M:$M</definedName>
    <definedName name="NOMBREDEPARTAMENTO" localSheetId="17">'11 usu'!$M:$M</definedName>
    <definedName name="NOMBREDEPARTAMENTO" localSheetId="18">'12 sm'!$M:$M</definedName>
    <definedName name="NOMBREDEPARTAMENTO" localSheetId="19">'13 mor'!$M:$M</definedName>
    <definedName name="NOMBREDEPARTAMENTO" localSheetId="5">'14 LU'!$M:$M</definedName>
    <definedName name="NOMBREDEPARTAMENTO" localSheetId="8">'2 sa'!$M:$M</definedName>
    <definedName name="NOMBREDEPARTAMENTO" localSheetId="10">'4 cha'!$M:$M</definedName>
    <definedName name="NOMBREDEPARTAMENTO" localSheetId="11">'5 LL'!$M:$M</definedName>
    <definedName name="NOMBREDEPARTAMENTO" localSheetId="13">'7 cus'!$M:$M</definedName>
    <definedName name="NOMBREDEPARTAMENTO" localSheetId="14">'8 lp'!$M:$M</definedName>
    <definedName name="NOMBREDEPARTAMENTO" localSheetId="15">'9 cab'!$M:$M</definedName>
    <definedName name="NOMBREDEPARTAMENTO">'N TRIBUTARIO'!$L:$L</definedName>
    <definedName name="NOMBREDISTRITO" localSheetId="7">'1 ahu'!$K:$K</definedName>
    <definedName name="NOMBREDISTRITO" localSheetId="16">'10 sv'!$K:$K</definedName>
    <definedName name="NOMBREDISTRITO" localSheetId="17">'11 usu'!$K:$K</definedName>
    <definedName name="NOMBREDISTRITO" localSheetId="18">'12 sm'!$K:$K</definedName>
    <definedName name="NOMBREDISTRITO" localSheetId="19">'13 mor'!$K:$K</definedName>
    <definedName name="NOMBREDISTRITO" localSheetId="5">'14 LU'!$K:$K</definedName>
    <definedName name="NOMBREDISTRITO" localSheetId="8">'2 sa'!$K:$K</definedName>
    <definedName name="NOMBREDISTRITO" localSheetId="10">'4 cha'!$K:$K</definedName>
    <definedName name="NOMBREDISTRITO" localSheetId="11">'5 LL'!$K:$K</definedName>
    <definedName name="NOMBREDISTRITO" localSheetId="13">'7 cus'!$K:$K</definedName>
    <definedName name="NOMBREDISTRITO" localSheetId="14">'8 lp'!$K:$K</definedName>
    <definedName name="NOMBREDISTRITO" localSheetId="15">'9 cab'!$K:$K</definedName>
    <definedName name="NOMBREDISTRITO">'N TRIBUTARIO'!$J:$J</definedName>
    <definedName name="NOMBREDISTRZONA" localSheetId="7">'1 ahu'!$Y:$Y</definedName>
    <definedName name="NOMBREDISTRZONA" localSheetId="16">'10 sv'!$Y:$Y</definedName>
    <definedName name="NOMBREDISTRZONA" localSheetId="17">'11 usu'!$Y:$Y</definedName>
    <definedName name="NOMBREDISTRZONA" localSheetId="18">'12 sm'!$Y:$Y</definedName>
    <definedName name="NOMBREDISTRZONA" localSheetId="19">'13 mor'!$Y:$Y</definedName>
    <definedName name="NOMBREDISTRZONA" localSheetId="5">'14 LU'!$Y:$Y</definedName>
    <definedName name="NOMBREDISTRZONA" localSheetId="8">'2 sa'!$Y:$Y</definedName>
    <definedName name="NOMBREDISTRZONA" localSheetId="10">'4 cha'!$Y:$Y</definedName>
    <definedName name="NOMBREDISTRZONA" localSheetId="11">'5 LL'!$Y:$Y</definedName>
    <definedName name="NOMBREDISTRZONA" localSheetId="13">'7 cus'!$Y:$Y</definedName>
    <definedName name="NOMBREDISTRZONA" localSheetId="14">'8 lp'!$Y:$Y</definedName>
    <definedName name="NOMBREDISTRZONA" localSheetId="15">'9 cab'!$Y:$Y</definedName>
    <definedName name="NOMBREDISTRZONA">'N TRIBUTARIO'!$X:$X</definedName>
    <definedName name="NOMBREZONA" localSheetId="7">'1 ahu'!$Y:$Y</definedName>
    <definedName name="NOMBREZONA" localSheetId="16">'10 sv'!$Y:$Y</definedName>
    <definedName name="NOMBREZONA" localSheetId="17">'11 usu'!$Y:$Y</definedName>
    <definedName name="NOMBREZONA" localSheetId="18">'12 sm'!$Y:$Y</definedName>
    <definedName name="NOMBREZONA" localSheetId="19">'13 mor'!$Y:$Y</definedName>
    <definedName name="NOMBREZONA" localSheetId="5">'14 LU'!$Y:$Y</definedName>
    <definedName name="NOMBREZONA" localSheetId="8">'2 sa'!$Y:$Y</definedName>
    <definedName name="NOMBREZONA" localSheetId="10">'4 cha'!$Y:$Y</definedName>
    <definedName name="NOMBREZONA" localSheetId="11">'5 LL'!$Y:$Y</definedName>
    <definedName name="NOMBREZONA" localSheetId="13">'7 cus'!$Y:$Y</definedName>
    <definedName name="NOMBREZONA" localSheetId="14">'8 lp'!$Y:$Y</definedName>
    <definedName name="NOMBREZONA" localSheetId="15">'9 cab'!$Y:$Y</definedName>
    <definedName name="NOMBREZONA">'N TRIBUTARIO'!$X:$X</definedName>
    <definedName name="NUMDEPTO1" localSheetId="7">'1 ahu'!$I:$I</definedName>
    <definedName name="NUMDEPTO1" localSheetId="16">'10 sv'!$I:$I</definedName>
    <definedName name="NUMDEPTO1" localSheetId="17">'11 usu'!$I:$I</definedName>
    <definedName name="NUMDEPTO1" localSheetId="18">'12 sm'!$I:$I</definedName>
    <definedName name="NUMDEPTO1" localSheetId="19">'13 mor'!$I:$I</definedName>
    <definedName name="NUMDEPTO1" localSheetId="5">'14 LU'!$I:$I</definedName>
    <definedName name="NUMDEPTO1" localSheetId="8">'2 sa'!$I:$I</definedName>
    <definedName name="NUMDEPTO1" localSheetId="10">'4 cha'!$I:$I</definedName>
    <definedName name="NUMDEPTO1" localSheetId="11">'5 LL'!$I:$I</definedName>
    <definedName name="NUMDEPTO1" localSheetId="13">'7 cus'!$I:$I</definedName>
    <definedName name="NUMDEPTO1" localSheetId="14">'8 lp'!$I:$I</definedName>
    <definedName name="NUMDEPTO1" localSheetId="15">'9 cab'!$I:$I</definedName>
    <definedName name="NUMDEPTO1">'N TRIBUTARIO'!$I:$I</definedName>
    <definedName name="NUMERO" localSheetId="7">'1 ahu'!$G:$G</definedName>
    <definedName name="NUMERO" localSheetId="16">'10 sv'!$G:$G</definedName>
    <definedName name="NUMERO" localSheetId="17">'11 usu'!$G:$G</definedName>
    <definedName name="NUMERO" localSheetId="18">'12 sm'!$G:$G</definedName>
    <definedName name="NUMERO" localSheetId="19">'13 mor'!$G:$G</definedName>
    <definedName name="NUMERO" localSheetId="5">'14 LU'!$G:$G</definedName>
    <definedName name="NUMERO" localSheetId="8">'2 sa'!$G:$G</definedName>
    <definedName name="NUMERO" localSheetId="10">'4 cha'!$G:$G</definedName>
    <definedName name="NUMERO" localSheetId="11">'5 LL'!$G:$G</definedName>
    <definedName name="NUMERO" localSheetId="13">'7 cus'!$G:$G</definedName>
    <definedName name="NUMERO" localSheetId="14">'8 lp'!$G:$G</definedName>
    <definedName name="NUMERO" localSheetId="15">'9 cab'!$G:$G</definedName>
    <definedName name="NUMERO">'N TRIBUTARIO'!$G:$G</definedName>
    <definedName name="POBLACION" localSheetId="7">'1 ahu'!$AC:$AC</definedName>
    <definedName name="POBLACION" localSheetId="16">'10 sv'!$AC:$AC</definedName>
    <definedName name="POBLACION" localSheetId="17">'11 usu'!$AC:$AC</definedName>
    <definedName name="POBLACION" localSheetId="18">'12 sm'!$AC:$AC</definedName>
    <definedName name="POBLACION" localSheetId="19">'13 mor'!$AC:$AC</definedName>
    <definedName name="POBLACION" localSheetId="5">'14 LU'!$AC:$AC</definedName>
    <definedName name="POBLACION" localSheetId="8">'2 sa'!$AC:$AC</definedName>
    <definedName name="POBLACION" localSheetId="10">'4 cha'!$AC:$AC</definedName>
    <definedName name="POBLACION" localSheetId="11">'5 LL'!$AC:$AC</definedName>
    <definedName name="POBLACION" localSheetId="13">'7 cus'!$AC:$AC</definedName>
    <definedName name="POBLACION" localSheetId="14">'8 lp'!$AC:$AC</definedName>
    <definedName name="POBLACION" localSheetId="15">'9 cab'!$AC:$AC</definedName>
    <definedName name="POBLACION">'N TRIBUTARIO'!$AB:$AB</definedName>
    <definedName name="SERIE" localSheetId="7">'1 ahu'!$E:$E</definedName>
    <definedName name="SERIE" localSheetId="16">'10 sv'!$E:$E</definedName>
    <definedName name="SERIE" localSheetId="17">'11 usu'!$E:$E</definedName>
    <definedName name="SERIE" localSheetId="18">'12 sm'!$E:$E</definedName>
    <definedName name="SERIE" localSheetId="19">'13 mor'!$E:$E</definedName>
    <definedName name="SERIE" localSheetId="5">'14 LU'!$E:$E</definedName>
    <definedName name="SERIE" localSheetId="8">'2 sa'!$E:$E</definedName>
    <definedName name="SERIE" localSheetId="10">'4 cha'!$E:$E</definedName>
    <definedName name="SERIE" localSheetId="11">'5 LL'!$E:$E</definedName>
    <definedName name="SERIE" localSheetId="13">'7 cus'!$E:$E</definedName>
    <definedName name="SERIE" localSheetId="14">'8 lp'!$E:$E</definedName>
    <definedName name="SERIE" localSheetId="15">'9 cab'!$E:$E</definedName>
    <definedName name="SERIE">'N TRIBUTARIO'!$E:$E</definedName>
    <definedName name="ZCENTRO" localSheetId="7">'1 ahu'!$N:$N</definedName>
    <definedName name="ZCENTRO" localSheetId="16">'10 sv'!$N:$N</definedName>
    <definedName name="ZCENTRO" localSheetId="17">'11 usu'!$N:$N</definedName>
    <definedName name="ZCENTRO" localSheetId="18">'12 sm'!$N:$N</definedName>
    <definedName name="ZCENTRO" localSheetId="19">'13 mor'!$N:$N</definedName>
    <definedName name="ZCENTRO" localSheetId="5">'14 LU'!$N:$N</definedName>
    <definedName name="ZCENTRO" localSheetId="8">'2 sa'!$N:$N</definedName>
    <definedName name="ZCENTRO" localSheetId="10">'4 cha'!$N:$N</definedName>
    <definedName name="ZCENTRO" localSheetId="11">'5 LL'!$N:$N</definedName>
    <definedName name="ZCENTRO" localSheetId="13">'7 cus'!$N:$N</definedName>
    <definedName name="ZCENTRO" localSheetId="14">'8 lp'!$N:$N</definedName>
    <definedName name="ZCENTRO" localSheetId="15">'9 cab'!$N:$N</definedName>
    <definedName name="ZCENTRO">'N TRIBUTARIO'!$M:$M</definedName>
    <definedName name="ZCOSTA" localSheetId="7">'1 ahu'!$O:$O</definedName>
    <definedName name="ZCOSTA" localSheetId="16">'10 sv'!$O:$O</definedName>
    <definedName name="ZCOSTA" localSheetId="17">'11 usu'!$O:$O</definedName>
    <definedName name="ZCOSTA" localSheetId="18">'12 sm'!$O:$O</definedName>
    <definedName name="ZCOSTA" localSheetId="19">'13 mor'!$O:$O</definedName>
    <definedName name="ZCOSTA" localSheetId="5">'14 LU'!$O:$O</definedName>
    <definedName name="ZCOSTA" localSheetId="8">'2 sa'!$O:$O</definedName>
    <definedName name="ZCOSTA" localSheetId="10">'4 cha'!$O:$O</definedName>
    <definedName name="ZCOSTA" localSheetId="11">'5 LL'!$O:$O</definedName>
    <definedName name="ZCOSTA" localSheetId="13">'7 cus'!$O:$O</definedName>
    <definedName name="ZCOSTA" localSheetId="14">'8 lp'!$O:$O</definedName>
    <definedName name="ZCOSTA" localSheetId="15">'9 cab'!$O:$O</definedName>
    <definedName name="ZCOSTA">'N TRIBUTARIO'!$N:$N</definedName>
    <definedName name="ZESTE" localSheetId="7">'1 ahu'!$P:$P</definedName>
    <definedName name="ZESTE" localSheetId="16">'10 sv'!$P:$P</definedName>
    <definedName name="ZESTE" localSheetId="17">'11 usu'!$P:$P</definedName>
    <definedName name="ZESTE" localSheetId="18">'12 sm'!$P:$P</definedName>
    <definedName name="ZESTE" localSheetId="19">'13 mor'!$P:$P</definedName>
    <definedName name="ZESTE" localSheetId="5">'14 LU'!$P:$P</definedName>
    <definedName name="ZESTE" localSheetId="8">'2 sa'!$P:$P</definedName>
    <definedName name="ZESTE" localSheetId="10">'4 cha'!$P:$P</definedName>
    <definedName name="ZESTE" localSheetId="11">'5 LL'!$P:$P</definedName>
    <definedName name="ZESTE" localSheetId="13">'7 cus'!$P:$P</definedName>
    <definedName name="ZESTE" localSheetId="14">'8 lp'!$P:$P</definedName>
    <definedName name="ZESTE" localSheetId="15">'9 cab'!$P:$P</definedName>
    <definedName name="ZESTE">'N TRIBUTARIO'!$O:$O</definedName>
    <definedName name="ZNODETERMINA" localSheetId="7">'1 ahu'!$T:$T</definedName>
    <definedName name="ZNODETERMINA" localSheetId="16">'10 sv'!$T:$T</definedName>
    <definedName name="ZNODETERMINA" localSheetId="17">'11 usu'!$T:$T</definedName>
    <definedName name="ZNODETERMINA" localSheetId="18">'12 sm'!$T:$T</definedName>
    <definedName name="ZNODETERMINA" localSheetId="19">'13 mor'!$T:$T</definedName>
    <definedName name="ZNODETERMINA" localSheetId="5">'14 LU'!$T:$T</definedName>
    <definedName name="ZNODETERMINA" localSheetId="8">'2 sa'!$T:$T</definedName>
    <definedName name="ZNODETERMINA" localSheetId="10">'4 cha'!$T:$T</definedName>
    <definedName name="ZNODETERMINA" localSheetId="11">'5 LL'!$T:$T</definedName>
    <definedName name="ZNODETERMINA" localSheetId="13">'7 cus'!$T:$T</definedName>
    <definedName name="ZNODETERMINA" localSheetId="14">'8 lp'!$T:$T</definedName>
    <definedName name="ZNODETERMINA" localSheetId="15">'9 cab'!$T:$T</definedName>
    <definedName name="ZNODETERMINA">'N TRIBUTARIO'!$S:$S</definedName>
    <definedName name="ZNORTE" localSheetId="7">'1 ahu'!$Q:$Q</definedName>
    <definedName name="ZNORTE" localSheetId="16">'10 sv'!$Q:$Q</definedName>
    <definedName name="ZNORTE" localSheetId="17">'11 usu'!$Q:$Q</definedName>
    <definedName name="ZNORTE" localSheetId="18">'12 sm'!$Q:$Q</definedName>
    <definedName name="ZNORTE" localSheetId="19">'13 mor'!$Q:$Q</definedName>
    <definedName name="ZNORTE" localSheetId="5">'14 LU'!$Q:$Q</definedName>
    <definedName name="ZNORTE" localSheetId="8">'2 sa'!$Q:$Q</definedName>
    <definedName name="ZNORTE" localSheetId="10">'4 cha'!$Q:$Q</definedName>
    <definedName name="ZNORTE" localSheetId="11">'5 LL'!$Q:$Q</definedName>
    <definedName name="ZNORTE" localSheetId="13">'7 cus'!$Q:$Q</definedName>
    <definedName name="ZNORTE" localSheetId="14">'8 lp'!$Q:$Q</definedName>
    <definedName name="ZNORTE" localSheetId="15">'9 cab'!$Q:$Q</definedName>
    <definedName name="ZNORTE">'N TRIBUTARIO'!$P:$P</definedName>
    <definedName name="ZOESTE" localSheetId="7">'1 ahu'!$R:$R</definedName>
    <definedName name="ZOESTE" localSheetId="16">'10 sv'!$R:$R</definedName>
    <definedName name="ZOESTE" localSheetId="17">'11 usu'!$R:$R</definedName>
    <definedName name="ZOESTE" localSheetId="18">'12 sm'!$R:$R</definedName>
    <definedName name="ZOESTE" localSheetId="19">'13 mor'!$R:$R</definedName>
    <definedName name="ZOESTE" localSheetId="5">'14 LU'!$R:$R</definedName>
    <definedName name="ZOESTE" localSheetId="8">'2 sa'!$R:$R</definedName>
    <definedName name="ZOESTE" localSheetId="10">'4 cha'!$R:$R</definedName>
    <definedName name="ZOESTE" localSheetId="11">'5 LL'!$R:$R</definedName>
    <definedName name="ZOESTE" localSheetId="13">'7 cus'!$R:$R</definedName>
    <definedName name="ZOESTE" localSheetId="14">'8 lp'!$R:$R</definedName>
    <definedName name="ZOESTE" localSheetId="15">'9 cab'!$R:$R</definedName>
    <definedName name="ZOESTE">'N TRIBUTARIO'!$Q:$Q</definedName>
    <definedName name="ZONA" localSheetId="7">'1 ahu'!$L:$L</definedName>
    <definedName name="ZONA" localSheetId="16">'10 sv'!$L:$L</definedName>
    <definedName name="ZONA" localSheetId="17">'11 usu'!$L:$L</definedName>
    <definedName name="ZONA" localSheetId="18">'12 sm'!$L:$L</definedName>
    <definedName name="ZONA" localSheetId="19">'13 mor'!$L:$L</definedName>
    <definedName name="ZONA" localSheetId="5">'14 LU'!$L:$L</definedName>
    <definedName name="ZONA" localSheetId="8">'2 sa'!$L:$L</definedName>
    <definedName name="ZONA" localSheetId="10">'4 cha'!$L:$L</definedName>
    <definedName name="ZONA" localSheetId="11">'5 LL'!$L:$L</definedName>
    <definedName name="ZONA" localSheetId="13">'7 cus'!$L:$L</definedName>
    <definedName name="ZONA" localSheetId="14">'8 lp'!$L:$L</definedName>
    <definedName name="ZONA" localSheetId="15">'9 cab'!$L:$L</definedName>
    <definedName name="ZONA">'N TRIBUTARIO'!$K:$K</definedName>
    <definedName name="ZSUR" localSheetId="7">'1 ahu'!$S:$S</definedName>
    <definedName name="ZSUR" localSheetId="16">'10 sv'!$S:$S</definedName>
    <definedName name="ZSUR" localSheetId="17">'11 usu'!$S:$S</definedName>
    <definedName name="ZSUR" localSheetId="18">'12 sm'!$S:$S</definedName>
    <definedName name="ZSUR" localSheetId="19">'13 mor'!$S:$S</definedName>
    <definedName name="ZSUR" localSheetId="5">'14 LU'!$S:$S</definedName>
    <definedName name="ZSUR" localSheetId="8">'2 sa'!$S:$S</definedName>
    <definedName name="ZSUR" localSheetId="10">'4 cha'!$S:$S</definedName>
    <definedName name="ZSUR" localSheetId="11">'5 LL'!$S:$S</definedName>
    <definedName name="ZSUR" localSheetId="13">'7 cus'!$S:$S</definedName>
    <definedName name="ZSUR" localSheetId="14">'8 lp'!$S:$S</definedName>
    <definedName name="ZSUR" localSheetId="15">'9 cab'!$S:$S</definedName>
    <definedName name="ZSUR">'N TRIBUTARIO'!$R:$R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2" i="6"/>
  <c r="J30" i="22"/>
  <c r="J29" i="22"/>
  <c r="AD27" i="22"/>
  <c r="AC27" i="22"/>
  <c r="AB27" i="22"/>
  <c r="V27" i="22"/>
  <c r="U27" i="22"/>
  <c r="T27" i="22"/>
  <c r="S27" i="22"/>
  <c r="R27" i="22"/>
  <c r="Q27" i="22"/>
  <c r="P27" i="22"/>
  <c r="O27" i="22"/>
  <c r="N27" i="22"/>
  <c r="M27" i="22"/>
  <c r="L27" i="22"/>
  <c r="K27" i="22"/>
  <c r="I27" i="22"/>
  <c r="H27" i="22"/>
  <c r="F27" i="22"/>
  <c r="E27" i="22"/>
  <c r="D27" i="22"/>
  <c r="C27" i="22"/>
  <c r="B27" i="22"/>
  <c r="A27" i="22"/>
  <c r="AD26" i="22"/>
  <c r="AC26" i="22"/>
  <c r="AB26" i="22"/>
  <c r="V26" i="22"/>
  <c r="U26" i="22"/>
  <c r="T26" i="22"/>
  <c r="S26" i="22"/>
  <c r="R26" i="22"/>
  <c r="Q26" i="22"/>
  <c r="P26" i="22"/>
  <c r="O26" i="22"/>
  <c r="N26" i="22"/>
  <c r="M26" i="22"/>
  <c r="L26" i="22"/>
  <c r="K26" i="22"/>
  <c r="I26" i="22"/>
  <c r="H26" i="22"/>
  <c r="F26" i="22"/>
  <c r="E26" i="22"/>
  <c r="D26" i="22"/>
  <c r="C26" i="22"/>
  <c r="B26" i="22"/>
  <c r="A26" i="22"/>
  <c r="AD25" i="22"/>
  <c r="AC25" i="22"/>
  <c r="AB25" i="22"/>
  <c r="V25" i="22"/>
  <c r="U25" i="22"/>
  <c r="T25" i="22"/>
  <c r="S25" i="22"/>
  <c r="R25" i="22"/>
  <c r="Q25" i="22"/>
  <c r="P25" i="22"/>
  <c r="O25" i="22"/>
  <c r="N25" i="22"/>
  <c r="M25" i="22"/>
  <c r="L25" i="22"/>
  <c r="K25" i="22"/>
  <c r="I25" i="22"/>
  <c r="H25" i="22"/>
  <c r="F25" i="22"/>
  <c r="E25" i="22"/>
  <c r="D25" i="22"/>
  <c r="C25" i="22"/>
  <c r="B25" i="22"/>
  <c r="A25" i="22"/>
  <c r="AD24" i="22"/>
  <c r="AC24" i="22"/>
  <c r="AB24" i="22"/>
  <c r="V24" i="22"/>
  <c r="U24" i="22"/>
  <c r="T24" i="22"/>
  <c r="S24" i="22"/>
  <c r="R24" i="22"/>
  <c r="Q24" i="22"/>
  <c r="P24" i="22"/>
  <c r="O24" i="22"/>
  <c r="N24" i="22"/>
  <c r="M24" i="22"/>
  <c r="L24" i="22"/>
  <c r="K24" i="22"/>
  <c r="I24" i="22"/>
  <c r="H24" i="22"/>
  <c r="F24" i="22"/>
  <c r="E24" i="22"/>
  <c r="D24" i="22"/>
  <c r="C24" i="22"/>
  <c r="B24" i="22"/>
  <c r="A24" i="22"/>
  <c r="AD23" i="22"/>
  <c r="AC23" i="22"/>
  <c r="AB23" i="22"/>
  <c r="V23" i="22"/>
  <c r="U23" i="22"/>
  <c r="T23" i="22"/>
  <c r="S23" i="22"/>
  <c r="R23" i="22"/>
  <c r="Q23" i="22"/>
  <c r="P23" i="22"/>
  <c r="O23" i="22"/>
  <c r="N23" i="22"/>
  <c r="M23" i="22"/>
  <c r="L23" i="22"/>
  <c r="K23" i="22"/>
  <c r="I23" i="22"/>
  <c r="H23" i="22"/>
  <c r="F23" i="22"/>
  <c r="E23" i="22"/>
  <c r="D23" i="22"/>
  <c r="C23" i="22"/>
  <c r="B23" i="22"/>
  <c r="A23" i="22"/>
  <c r="AD22" i="22"/>
  <c r="AC22" i="22"/>
  <c r="AB22" i="22"/>
  <c r="V22" i="22"/>
  <c r="U22" i="22"/>
  <c r="T22" i="22"/>
  <c r="S22" i="22"/>
  <c r="R22" i="22"/>
  <c r="Q22" i="22"/>
  <c r="P22" i="22"/>
  <c r="O22" i="22"/>
  <c r="N22" i="22"/>
  <c r="M22" i="22"/>
  <c r="L22" i="22"/>
  <c r="K22" i="22"/>
  <c r="I22" i="22"/>
  <c r="H22" i="22"/>
  <c r="F22" i="22"/>
  <c r="E22" i="22"/>
  <c r="D22" i="22"/>
  <c r="C22" i="22"/>
  <c r="B22" i="22"/>
  <c r="A22" i="22"/>
  <c r="AD21" i="22"/>
  <c r="AC21" i="22"/>
  <c r="AB21" i="22"/>
  <c r="V21" i="22"/>
  <c r="U21" i="22"/>
  <c r="T21" i="22"/>
  <c r="S21" i="22"/>
  <c r="R21" i="22"/>
  <c r="Q21" i="22"/>
  <c r="P21" i="22"/>
  <c r="O21" i="22"/>
  <c r="N21" i="22"/>
  <c r="M21" i="22"/>
  <c r="L21" i="22"/>
  <c r="K21" i="22"/>
  <c r="I21" i="22"/>
  <c r="H21" i="22"/>
  <c r="F21" i="22"/>
  <c r="E21" i="22"/>
  <c r="D21" i="22"/>
  <c r="C21" i="22"/>
  <c r="B21" i="22"/>
  <c r="A21" i="22"/>
  <c r="AD20" i="22"/>
  <c r="AC20" i="22"/>
  <c r="AB20" i="22"/>
  <c r="V20" i="22"/>
  <c r="U20" i="22"/>
  <c r="T20" i="22"/>
  <c r="S20" i="22"/>
  <c r="R20" i="22"/>
  <c r="Q20" i="22"/>
  <c r="P20" i="22"/>
  <c r="O20" i="22"/>
  <c r="N20" i="22"/>
  <c r="M20" i="22"/>
  <c r="L20" i="22"/>
  <c r="K20" i="22"/>
  <c r="H20" i="22"/>
  <c r="F20" i="22"/>
  <c r="E20" i="22"/>
  <c r="D20" i="22"/>
  <c r="C20" i="22"/>
  <c r="B20" i="22"/>
  <c r="A20" i="22"/>
  <c r="AD19" i="22"/>
  <c r="AC19" i="22"/>
  <c r="AB19" i="22"/>
  <c r="V19" i="22"/>
  <c r="U19" i="22"/>
  <c r="T19" i="22"/>
  <c r="S19" i="22"/>
  <c r="R19" i="22"/>
  <c r="Q19" i="22"/>
  <c r="P19" i="22"/>
  <c r="O19" i="22"/>
  <c r="N19" i="22"/>
  <c r="M19" i="22"/>
  <c r="L19" i="22"/>
  <c r="K19" i="22"/>
  <c r="I19" i="22"/>
  <c r="H19" i="22"/>
  <c r="F19" i="22"/>
  <c r="E19" i="22"/>
  <c r="D19" i="22"/>
  <c r="C19" i="22"/>
  <c r="B19" i="22"/>
  <c r="A19" i="22"/>
  <c r="AD18" i="22"/>
  <c r="AC18" i="22"/>
  <c r="AB18" i="22"/>
  <c r="V18" i="22"/>
  <c r="U18" i="22"/>
  <c r="T18" i="22"/>
  <c r="S18" i="22"/>
  <c r="R18" i="22"/>
  <c r="Q18" i="22"/>
  <c r="P18" i="22"/>
  <c r="O18" i="22"/>
  <c r="N18" i="22"/>
  <c r="M18" i="22"/>
  <c r="L18" i="22"/>
  <c r="K18" i="22"/>
  <c r="I18" i="22"/>
  <c r="H18" i="22"/>
  <c r="F18" i="22"/>
  <c r="E18" i="22"/>
  <c r="D18" i="22"/>
  <c r="C18" i="22"/>
  <c r="B18" i="22"/>
  <c r="A18" i="22"/>
  <c r="AD17" i="22"/>
  <c r="AC17" i="22"/>
  <c r="AB17" i="22"/>
  <c r="V17" i="22"/>
  <c r="U17" i="22"/>
  <c r="T17" i="22"/>
  <c r="S17" i="22"/>
  <c r="R17" i="22"/>
  <c r="Q17" i="22"/>
  <c r="P17" i="22"/>
  <c r="O17" i="22"/>
  <c r="N17" i="22"/>
  <c r="M17" i="22"/>
  <c r="L17" i="22"/>
  <c r="K17" i="22"/>
  <c r="I17" i="22"/>
  <c r="H17" i="22"/>
  <c r="F17" i="22"/>
  <c r="E17" i="22"/>
  <c r="D17" i="22"/>
  <c r="C17" i="22"/>
  <c r="B17" i="22"/>
  <c r="A17" i="22"/>
  <c r="AD16" i="22"/>
  <c r="AC16" i="22"/>
  <c r="AB16" i="22"/>
  <c r="V16" i="22"/>
  <c r="U16" i="22"/>
  <c r="T16" i="22"/>
  <c r="S16" i="22"/>
  <c r="R16" i="22"/>
  <c r="Q16" i="22"/>
  <c r="P16" i="22"/>
  <c r="O16" i="22"/>
  <c r="N16" i="22"/>
  <c r="M16" i="22"/>
  <c r="L16" i="22"/>
  <c r="K16" i="22"/>
  <c r="I16" i="22"/>
  <c r="H16" i="22"/>
  <c r="F16" i="22"/>
  <c r="E16" i="22"/>
  <c r="D16" i="22"/>
  <c r="C16" i="22"/>
  <c r="B16" i="22"/>
  <c r="A16" i="22"/>
  <c r="AD15" i="22"/>
  <c r="AC15" i="22"/>
  <c r="AB15" i="22"/>
  <c r="V15" i="22"/>
  <c r="U15" i="22"/>
  <c r="T15" i="22"/>
  <c r="S15" i="22"/>
  <c r="R15" i="22"/>
  <c r="Q15" i="22"/>
  <c r="P15" i="22"/>
  <c r="O15" i="22"/>
  <c r="N15" i="22"/>
  <c r="M15" i="22"/>
  <c r="L15" i="22"/>
  <c r="K15" i="22"/>
  <c r="I15" i="22"/>
  <c r="H15" i="22"/>
  <c r="F15" i="22"/>
  <c r="E15" i="22"/>
  <c r="D15" i="22"/>
  <c r="C15" i="22"/>
  <c r="B15" i="22"/>
  <c r="A15" i="22"/>
  <c r="AD14" i="22"/>
  <c r="AC14" i="22"/>
  <c r="AB14" i="22"/>
  <c r="V14" i="22"/>
  <c r="U14" i="22"/>
  <c r="T14" i="22"/>
  <c r="S14" i="22"/>
  <c r="R14" i="22"/>
  <c r="Q14" i="22"/>
  <c r="P14" i="22"/>
  <c r="O14" i="22"/>
  <c r="N14" i="22"/>
  <c r="M14" i="22"/>
  <c r="L14" i="22"/>
  <c r="K14" i="22"/>
  <c r="I14" i="22"/>
  <c r="H14" i="22"/>
  <c r="F14" i="22"/>
  <c r="E14" i="22"/>
  <c r="D14" i="22"/>
  <c r="C14" i="22"/>
  <c r="B14" i="22"/>
  <c r="A14" i="22"/>
  <c r="AD13" i="22"/>
  <c r="AC13" i="22"/>
  <c r="AB13" i="22"/>
  <c r="V13" i="22"/>
  <c r="U13" i="22"/>
  <c r="T13" i="22"/>
  <c r="S13" i="22"/>
  <c r="R13" i="22"/>
  <c r="Q13" i="22"/>
  <c r="P13" i="22"/>
  <c r="O13" i="22"/>
  <c r="N13" i="22"/>
  <c r="M13" i="22"/>
  <c r="L13" i="22"/>
  <c r="K13" i="22"/>
  <c r="I13" i="22"/>
  <c r="H13" i="22"/>
  <c r="F13" i="22"/>
  <c r="E13" i="22"/>
  <c r="D13" i="22"/>
  <c r="C13" i="22"/>
  <c r="B13" i="22"/>
  <c r="A13" i="22"/>
  <c r="AD12" i="22"/>
  <c r="AC12" i="22"/>
  <c r="AB12" i="22"/>
  <c r="V12" i="22"/>
  <c r="U12" i="22"/>
  <c r="T12" i="22"/>
  <c r="S12" i="22"/>
  <c r="R12" i="22"/>
  <c r="Q12" i="22"/>
  <c r="P12" i="22"/>
  <c r="O12" i="22"/>
  <c r="N12" i="22"/>
  <c r="M12" i="22"/>
  <c r="L12" i="22"/>
  <c r="K12" i="22"/>
  <c r="I12" i="22"/>
  <c r="H12" i="22"/>
  <c r="F12" i="22"/>
  <c r="E12" i="22"/>
  <c r="D12" i="22"/>
  <c r="C12" i="22"/>
  <c r="B12" i="22"/>
  <c r="A12" i="22"/>
  <c r="AD11" i="22"/>
  <c r="AC11" i="22"/>
  <c r="AB11" i="22"/>
  <c r="V11" i="22"/>
  <c r="U11" i="22"/>
  <c r="T11" i="22"/>
  <c r="S11" i="22"/>
  <c r="R11" i="22"/>
  <c r="Q11" i="22"/>
  <c r="P11" i="22"/>
  <c r="O11" i="22"/>
  <c r="N11" i="22"/>
  <c r="M11" i="22"/>
  <c r="L11" i="22"/>
  <c r="K11" i="22"/>
  <c r="I11" i="22"/>
  <c r="H11" i="22"/>
  <c r="F11" i="22"/>
  <c r="E11" i="22"/>
  <c r="D11" i="22"/>
  <c r="C11" i="22"/>
  <c r="B11" i="22"/>
  <c r="A11" i="22"/>
  <c r="AD10" i="22"/>
  <c r="AC10" i="22"/>
  <c r="AB10" i="22"/>
  <c r="V10" i="22"/>
  <c r="U10" i="22"/>
  <c r="T10" i="22"/>
  <c r="S10" i="22"/>
  <c r="R10" i="22"/>
  <c r="Q10" i="22"/>
  <c r="P10" i="22"/>
  <c r="O10" i="22"/>
  <c r="N10" i="22"/>
  <c r="M10" i="22"/>
  <c r="L10" i="22"/>
  <c r="K10" i="22"/>
  <c r="I10" i="22"/>
  <c r="H10" i="22"/>
  <c r="F10" i="22"/>
  <c r="E10" i="22"/>
  <c r="D10" i="22"/>
  <c r="C10" i="22"/>
  <c r="B10" i="22"/>
  <c r="A10" i="22"/>
  <c r="AD9" i="22"/>
  <c r="AC9" i="22"/>
  <c r="AB9" i="22"/>
  <c r="V9" i="22"/>
  <c r="U9" i="22"/>
  <c r="T9" i="22"/>
  <c r="S9" i="22"/>
  <c r="R9" i="22"/>
  <c r="Q9" i="22"/>
  <c r="P9" i="22"/>
  <c r="O9" i="22"/>
  <c r="N9" i="22"/>
  <c r="M9" i="22"/>
  <c r="L9" i="22"/>
  <c r="K9" i="22"/>
  <c r="I9" i="22"/>
  <c r="H9" i="22"/>
  <c r="F9" i="22"/>
  <c r="E9" i="22"/>
  <c r="D9" i="22"/>
  <c r="C9" i="22"/>
  <c r="B9" i="22"/>
  <c r="A9" i="22"/>
  <c r="AD8" i="22"/>
  <c r="AC8" i="22"/>
  <c r="AB8" i="22"/>
  <c r="V8" i="22"/>
  <c r="U8" i="22"/>
  <c r="T8" i="22"/>
  <c r="S8" i="22"/>
  <c r="R8" i="22"/>
  <c r="Q8" i="22"/>
  <c r="Q28" i="22" s="1"/>
  <c r="P8" i="22"/>
  <c r="O8" i="22"/>
  <c r="N8" i="22"/>
  <c r="M8" i="22"/>
  <c r="L8" i="22"/>
  <c r="K8" i="22"/>
  <c r="I8" i="22"/>
  <c r="H8" i="22"/>
  <c r="F8" i="22"/>
  <c r="E8" i="22"/>
  <c r="D8" i="22"/>
  <c r="C8" i="22"/>
  <c r="B8" i="22"/>
  <c r="A8" i="22"/>
  <c r="AD7" i="22"/>
  <c r="AC7" i="22"/>
  <c r="AB7" i="22"/>
  <c r="V7" i="22"/>
  <c r="U7" i="22"/>
  <c r="T7" i="22"/>
  <c r="S7" i="22"/>
  <c r="R7" i="22"/>
  <c r="Q7" i="22"/>
  <c r="P7" i="22"/>
  <c r="O7" i="22"/>
  <c r="N7" i="22"/>
  <c r="M7" i="22"/>
  <c r="L7" i="22"/>
  <c r="K7" i="22"/>
  <c r="I7" i="22"/>
  <c r="H7" i="22"/>
  <c r="F7" i="22"/>
  <c r="E7" i="22"/>
  <c r="D7" i="22"/>
  <c r="C7" i="22"/>
  <c r="B7" i="22"/>
  <c r="A7" i="22"/>
  <c r="AD6" i="22"/>
  <c r="AC6" i="22"/>
  <c r="AB6" i="22"/>
  <c r="V6" i="22"/>
  <c r="U6" i="22"/>
  <c r="T6" i="22"/>
  <c r="S6" i="22"/>
  <c r="R6" i="22"/>
  <c r="Q6" i="22"/>
  <c r="P6" i="22"/>
  <c r="O6" i="22"/>
  <c r="N6" i="22"/>
  <c r="M6" i="22"/>
  <c r="L6" i="22"/>
  <c r="K6" i="22"/>
  <c r="I6" i="22"/>
  <c r="H6" i="22"/>
  <c r="F6" i="22"/>
  <c r="E6" i="22"/>
  <c r="D6" i="22"/>
  <c r="C6" i="22"/>
  <c r="B6" i="22"/>
  <c r="A6" i="22"/>
  <c r="AD5" i="22"/>
  <c r="AC5" i="22"/>
  <c r="AB5" i="22"/>
  <c r="V5" i="22"/>
  <c r="U5" i="22"/>
  <c r="T5" i="22"/>
  <c r="S5" i="22"/>
  <c r="R5" i="22"/>
  <c r="Q5" i="22"/>
  <c r="P5" i="22"/>
  <c r="O5" i="22"/>
  <c r="N5" i="22"/>
  <c r="M5" i="22"/>
  <c r="L5" i="22"/>
  <c r="K5" i="22"/>
  <c r="I5" i="22"/>
  <c r="H5" i="22"/>
  <c r="F5" i="22"/>
  <c r="E5" i="22"/>
  <c r="D5" i="22"/>
  <c r="C5" i="22"/>
  <c r="B5" i="22"/>
  <c r="A5" i="22"/>
  <c r="AD4" i="22"/>
  <c r="AC4" i="22"/>
  <c r="AB4" i="22"/>
  <c r="V4" i="22"/>
  <c r="U4" i="22"/>
  <c r="T4" i="22"/>
  <c r="S4" i="22"/>
  <c r="R4" i="22"/>
  <c r="Q4" i="22"/>
  <c r="P4" i="22"/>
  <c r="O4" i="22"/>
  <c r="N4" i="22"/>
  <c r="M4" i="22"/>
  <c r="L4" i="22"/>
  <c r="K4" i="22"/>
  <c r="I4" i="22"/>
  <c r="H4" i="22"/>
  <c r="F4" i="22"/>
  <c r="E4" i="22"/>
  <c r="D4" i="22"/>
  <c r="C4" i="22"/>
  <c r="B4" i="22"/>
  <c r="A4" i="22"/>
  <c r="AD3" i="22"/>
  <c r="AC3" i="22"/>
  <c r="AB3" i="22"/>
  <c r="V3" i="22"/>
  <c r="U3" i="22"/>
  <c r="T3" i="22"/>
  <c r="S3" i="22"/>
  <c r="R3" i="22"/>
  <c r="Q3" i="22"/>
  <c r="P3" i="22"/>
  <c r="O3" i="22"/>
  <c r="N3" i="22"/>
  <c r="M3" i="22"/>
  <c r="L3" i="22"/>
  <c r="K3" i="22"/>
  <c r="I3" i="22"/>
  <c r="H3" i="22"/>
  <c r="F3" i="22"/>
  <c r="E3" i="22"/>
  <c r="D3" i="22"/>
  <c r="C3" i="22"/>
  <c r="B3" i="22"/>
  <c r="A3" i="22"/>
  <c r="AD2" i="22"/>
  <c r="AC2" i="22"/>
  <c r="AB2" i="22"/>
  <c r="V2" i="22"/>
  <c r="U2" i="22"/>
  <c r="T2" i="22"/>
  <c r="S2" i="22"/>
  <c r="R2" i="22"/>
  <c r="Q2" i="22"/>
  <c r="P2" i="22"/>
  <c r="O2" i="22"/>
  <c r="N2" i="22"/>
  <c r="M2" i="22"/>
  <c r="L2" i="22"/>
  <c r="K2" i="22"/>
  <c r="K29" i="22" s="1"/>
  <c r="I2" i="22"/>
  <c r="H2" i="22"/>
  <c r="F2" i="22"/>
  <c r="E2" i="22"/>
  <c r="D2" i="22"/>
  <c r="C2" i="22"/>
  <c r="B2" i="22"/>
  <c r="A2" i="22"/>
  <c r="J25" i="21"/>
  <c r="J24" i="21"/>
  <c r="J23" i="21"/>
  <c r="AD21" i="21"/>
  <c r="AC21" i="21"/>
  <c r="AB21" i="21"/>
  <c r="V21" i="21"/>
  <c r="U21" i="21"/>
  <c r="T21" i="21"/>
  <c r="S21" i="21"/>
  <c r="R21" i="21"/>
  <c r="Q21" i="21"/>
  <c r="P21" i="21"/>
  <c r="O21" i="21"/>
  <c r="N21" i="21"/>
  <c r="M21" i="21"/>
  <c r="L21" i="21"/>
  <c r="K21" i="21"/>
  <c r="I21" i="21"/>
  <c r="H21" i="21"/>
  <c r="F21" i="21"/>
  <c r="E21" i="21"/>
  <c r="D21" i="21"/>
  <c r="C21" i="21"/>
  <c r="B21" i="21"/>
  <c r="A21" i="21"/>
  <c r="AD20" i="21"/>
  <c r="AC20" i="21"/>
  <c r="AB20" i="21"/>
  <c r="V20" i="21"/>
  <c r="U20" i="21"/>
  <c r="T20" i="21"/>
  <c r="S20" i="21"/>
  <c r="R20" i="21"/>
  <c r="Q20" i="21"/>
  <c r="P20" i="21"/>
  <c r="O20" i="21"/>
  <c r="N20" i="21"/>
  <c r="M20" i="21"/>
  <c r="L20" i="21"/>
  <c r="K20" i="21"/>
  <c r="I20" i="21"/>
  <c r="H20" i="21"/>
  <c r="F20" i="21"/>
  <c r="E20" i="21"/>
  <c r="D20" i="21"/>
  <c r="C20" i="21"/>
  <c r="B20" i="21"/>
  <c r="A20" i="21"/>
  <c r="AD19" i="21"/>
  <c r="AC19" i="21"/>
  <c r="AB19" i="21"/>
  <c r="V19" i="21"/>
  <c r="U19" i="21"/>
  <c r="T19" i="21"/>
  <c r="S19" i="21"/>
  <c r="R19" i="21"/>
  <c r="Q19" i="21"/>
  <c r="P19" i="21"/>
  <c r="O19" i="21"/>
  <c r="N19" i="21"/>
  <c r="M19" i="21"/>
  <c r="L19" i="21"/>
  <c r="K19" i="21"/>
  <c r="I19" i="21"/>
  <c r="H19" i="21"/>
  <c r="F19" i="21"/>
  <c r="E19" i="21"/>
  <c r="D19" i="21"/>
  <c r="C19" i="21"/>
  <c r="B19" i="21"/>
  <c r="A19" i="21"/>
  <c r="AD18" i="21"/>
  <c r="AC18" i="21"/>
  <c r="AB18" i="21"/>
  <c r="V18" i="21"/>
  <c r="U18" i="21"/>
  <c r="T18" i="21"/>
  <c r="S18" i="21"/>
  <c r="R18" i="21"/>
  <c r="Q18" i="21"/>
  <c r="P18" i="21"/>
  <c r="O18" i="21"/>
  <c r="N18" i="21"/>
  <c r="M18" i="21"/>
  <c r="L18" i="21"/>
  <c r="K18" i="21"/>
  <c r="H18" i="21"/>
  <c r="F18" i="21"/>
  <c r="E18" i="21"/>
  <c r="D18" i="21"/>
  <c r="C18" i="21"/>
  <c r="B18" i="21"/>
  <c r="A18" i="21"/>
  <c r="AD17" i="21"/>
  <c r="AC17" i="21"/>
  <c r="AB17" i="21"/>
  <c r="V17" i="21"/>
  <c r="U17" i="21"/>
  <c r="T17" i="21"/>
  <c r="S17" i="21"/>
  <c r="R17" i="21"/>
  <c r="Q17" i="21"/>
  <c r="P17" i="21"/>
  <c r="O17" i="21"/>
  <c r="N17" i="21"/>
  <c r="M17" i="21"/>
  <c r="L17" i="21"/>
  <c r="K17" i="21"/>
  <c r="I17" i="21"/>
  <c r="H17" i="21"/>
  <c r="F17" i="21"/>
  <c r="E17" i="21"/>
  <c r="D17" i="21"/>
  <c r="C17" i="21"/>
  <c r="B17" i="21"/>
  <c r="A17" i="21"/>
  <c r="AD16" i="21"/>
  <c r="AC16" i="21"/>
  <c r="AB16" i="21"/>
  <c r="V16" i="21"/>
  <c r="U16" i="21"/>
  <c r="T16" i="21"/>
  <c r="S16" i="21"/>
  <c r="R16" i="21"/>
  <c r="Q16" i="21"/>
  <c r="P16" i="21"/>
  <c r="O16" i="21"/>
  <c r="N16" i="21"/>
  <c r="M16" i="21"/>
  <c r="L16" i="21"/>
  <c r="K16" i="21"/>
  <c r="I16" i="21"/>
  <c r="H16" i="21"/>
  <c r="F16" i="21"/>
  <c r="E16" i="21"/>
  <c r="D16" i="21"/>
  <c r="C16" i="21"/>
  <c r="B16" i="21"/>
  <c r="A16" i="21"/>
  <c r="AD15" i="21"/>
  <c r="AC15" i="21"/>
  <c r="AB15" i="21"/>
  <c r="V15" i="21"/>
  <c r="U15" i="21"/>
  <c r="T15" i="21"/>
  <c r="S15" i="21"/>
  <c r="R15" i="21"/>
  <c r="Q15" i="21"/>
  <c r="P15" i="21"/>
  <c r="O15" i="21"/>
  <c r="N15" i="21"/>
  <c r="M15" i="21"/>
  <c r="L15" i="21"/>
  <c r="K15" i="21"/>
  <c r="I15" i="21"/>
  <c r="H15" i="21"/>
  <c r="F15" i="21"/>
  <c r="E15" i="21"/>
  <c r="D15" i="21"/>
  <c r="C15" i="21"/>
  <c r="B15" i="21"/>
  <c r="A15" i="21"/>
  <c r="AD14" i="21"/>
  <c r="AC14" i="21"/>
  <c r="AB14" i="21"/>
  <c r="V14" i="21"/>
  <c r="U14" i="21"/>
  <c r="T14" i="21"/>
  <c r="S14" i="21"/>
  <c r="R14" i="21"/>
  <c r="Q14" i="21"/>
  <c r="P14" i="21"/>
  <c r="O14" i="21"/>
  <c r="N14" i="21"/>
  <c r="M14" i="21"/>
  <c r="L14" i="21"/>
  <c r="K14" i="21"/>
  <c r="I14" i="21"/>
  <c r="H14" i="21"/>
  <c r="F14" i="21"/>
  <c r="E14" i="21"/>
  <c r="D14" i="21"/>
  <c r="C14" i="21"/>
  <c r="B14" i="21"/>
  <c r="A14" i="21"/>
  <c r="AD13" i="21"/>
  <c r="AC13" i="21"/>
  <c r="AB13" i="21"/>
  <c r="V13" i="21"/>
  <c r="U13" i="21"/>
  <c r="T13" i="21"/>
  <c r="S13" i="21"/>
  <c r="R13" i="21"/>
  <c r="Q13" i="21"/>
  <c r="P13" i="21"/>
  <c r="O13" i="21"/>
  <c r="N13" i="21"/>
  <c r="M13" i="21"/>
  <c r="L13" i="21"/>
  <c r="K13" i="21"/>
  <c r="I13" i="21"/>
  <c r="H13" i="21"/>
  <c r="F13" i="21"/>
  <c r="E13" i="21"/>
  <c r="D13" i="21"/>
  <c r="C13" i="21"/>
  <c r="B13" i="21"/>
  <c r="A13" i="21"/>
  <c r="AD12" i="21"/>
  <c r="AC12" i="21"/>
  <c r="AB12" i="21"/>
  <c r="V12" i="21"/>
  <c r="U12" i="21"/>
  <c r="T12" i="21"/>
  <c r="S12" i="21"/>
  <c r="R12" i="21"/>
  <c r="Q12" i="21"/>
  <c r="P12" i="21"/>
  <c r="O12" i="21"/>
  <c r="N12" i="21"/>
  <c r="M12" i="21"/>
  <c r="L12" i="21"/>
  <c r="K12" i="21"/>
  <c r="I12" i="21"/>
  <c r="H12" i="21"/>
  <c r="F12" i="21"/>
  <c r="E12" i="21"/>
  <c r="D12" i="21"/>
  <c r="C12" i="21"/>
  <c r="B12" i="21"/>
  <c r="A12" i="21"/>
  <c r="AD11" i="21"/>
  <c r="AC11" i="21"/>
  <c r="AB11" i="21"/>
  <c r="V11" i="21"/>
  <c r="U11" i="21"/>
  <c r="T11" i="21"/>
  <c r="S11" i="21"/>
  <c r="R11" i="21"/>
  <c r="Q11" i="21"/>
  <c r="P11" i="21"/>
  <c r="O11" i="21"/>
  <c r="N11" i="21"/>
  <c r="M11" i="21"/>
  <c r="L11" i="21"/>
  <c r="K11" i="21"/>
  <c r="I11" i="21"/>
  <c r="H11" i="21"/>
  <c r="F11" i="21"/>
  <c r="E11" i="21"/>
  <c r="D11" i="21"/>
  <c r="C11" i="21"/>
  <c r="B11" i="21"/>
  <c r="A11" i="21"/>
  <c r="AD10" i="21"/>
  <c r="AC10" i="21"/>
  <c r="AB10" i="21"/>
  <c r="V10" i="21"/>
  <c r="U10" i="21"/>
  <c r="T10" i="21"/>
  <c r="S10" i="21"/>
  <c r="R10" i="21"/>
  <c r="Q10" i="21"/>
  <c r="P10" i="21"/>
  <c r="O10" i="21"/>
  <c r="N10" i="21"/>
  <c r="M10" i="21"/>
  <c r="L10" i="21"/>
  <c r="K10" i="21"/>
  <c r="I10" i="21"/>
  <c r="H10" i="21"/>
  <c r="F10" i="21"/>
  <c r="E10" i="21"/>
  <c r="D10" i="21"/>
  <c r="C10" i="21"/>
  <c r="B10" i="21"/>
  <c r="A10" i="21"/>
  <c r="AD9" i="21"/>
  <c r="AC9" i="21"/>
  <c r="AB9" i="21"/>
  <c r="V9" i="21"/>
  <c r="U9" i="21"/>
  <c r="T9" i="21"/>
  <c r="S9" i="21"/>
  <c r="R9" i="21"/>
  <c r="Q9" i="21"/>
  <c r="P9" i="21"/>
  <c r="O9" i="21"/>
  <c r="N9" i="21"/>
  <c r="M9" i="21"/>
  <c r="L9" i="21"/>
  <c r="K9" i="21"/>
  <c r="I9" i="21"/>
  <c r="H9" i="21"/>
  <c r="F9" i="21"/>
  <c r="E9" i="21"/>
  <c r="D9" i="21"/>
  <c r="C9" i="21"/>
  <c r="B9" i="21"/>
  <c r="A9" i="21"/>
  <c r="AD8" i="21"/>
  <c r="AC8" i="21"/>
  <c r="AB8" i="21"/>
  <c r="V8" i="21"/>
  <c r="U8" i="21"/>
  <c r="T8" i="21"/>
  <c r="S8" i="21"/>
  <c r="R8" i="21"/>
  <c r="Q8" i="21"/>
  <c r="P8" i="21"/>
  <c r="O8" i="21"/>
  <c r="N8" i="21"/>
  <c r="M8" i="21"/>
  <c r="L8" i="21"/>
  <c r="K8" i="21"/>
  <c r="I8" i="21"/>
  <c r="H8" i="21"/>
  <c r="F8" i="21"/>
  <c r="E8" i="21"/>
  <c r="D8" i="21"/>
  <c r="C8" i="21"/>
  <c r="B8" i="21"/>
  <c r="A8" i="21"/>
  <c r="AD7" i="21"/>
  <c r="AC7" i="21"/>
  <c r="AB7" i="21"/>
  <c r="V7" i="21"/>
  <c r="U7" i="21"/>
  <c r="T7" i="21"/>
  <c r="S7" i="21"/>
  <c r="R7" i="21"/>
  <c r="Q7" i="21"/>
  <c r="P7" i="21"/>
  <c r="O7" i="21"/>
  <c r="N7" i="21"/>
  <c r="M7" i="21"/>
  <c r="L7" i="21"/>
  <c r="K7" i="21"/>
  <c r="I7" i="21"/>
  <c r="H7" i="21"/>
  <c r="F7" i="21"/>
  <c r="E7" i="21"/>
  <c r="D7" i="21"/>
  <c r="C7" i="21"/>
  <c r="B7" i="21"/>
  <c r="A7" i="21"/>
  <c r="AD6" i="21"/>
  <c r="AC6" i="21"/>
  <c r="AB6" i="21"/>
  <c r="V6" i="21"/>
  <c r="U6" i="21"/>
  <c r="T6" i="21"/>
  <c r="S6" i="21"/>
  <c r="R6" i="21"/>
  <c r="Q6" i="21"/>
  <c r="P6" i="21"/>
  <c r="O6" i="21"/>
  <c r="N6" i="21"/>
  <c r="M6" i="21"/>
  <c r="L6" i="21"/>
  <c r="K6" i="21"/>
  <c r="K25" i="21" s="1"/>
  <c r="I6" i="21"/>
  <c r="H6" i="21"/>
  <c r="F6" i="21"/>
  <c r="E6" i="21"/>
  <c r="D6" i="21"/>
  <c r="C6" i="21"/>
  <c r="B6" i="21"/>
  <c r="A6" i="21"/>
  <c r="AD5" i="21"/>
  <c r="AC5" i="21"/>
  <c r="AB5" i="21"/>
  <c r="V5" i="21"/>
  <c r="U5" i="21"/>
  <c r="T5" i="21"/>
  <c r="S5" i="21"/>
  <c r="R5" i="21"/>
  <c r="Q5" i="21"/>
  <c r="P5" i="21"/>
  <c r="O5" i="21"/>
  <c r="N5" i="21"/>
  <c r="M5" i="21"/>
  <c r="L5" i="21"/>
  <c r="K5" i="21"/>
  <c r="I5" i="21"/>
  <c r="H5" i="21"/>
  <c r="F5" i="21"/>
  <c r="E5" i="21"/>
  <c r="D5" i="21"/>
  <c r="C5" i="21"/>
  <c r="B5" i="21"/>
  <c r="A5" i="21"/>
  <c r="AD4" i="21"/>
  <c r="AC4" i="21"/>
  <c r="AB4" i="21"/>
  <c r="V4" i="21"/>
  <c r="U4" i="21"/>
  <c r="T4" i="21"/>
  <c r="S4" i="21"/>
  <c r="R4" i="21"/>
  <c r="Q4" i="21"/>
  <c r="P4" i="21"/>
  <c r="O4" i="21"/>
  <c r="N4" i="21"/>
  <c r="M4" i="21"/>
  <c r="L4" i="21"/>
  <c r="K4" i="21"/>
  <c r="K23" i="21" s="1"/>
  <c r="I4" i="21"/>
  <c r="H4" i="21"/>
  <c r="F4" i="21"/>
  <c r="E4" i="21"/>
  <c r="D4" i="21"/>
  <c r="C4" i="21"/>
  <c r="B4" i="21"/>
  <c r="A4" i="21"/>
  <c r="AD3" i="21"/>
  <c r="AC3" i="21"/>
  <c r="AB3" i="21"/>
  <c r="V3" i="21"/>
  <c r="U3" i="21"/>
  <c r="T3" i="21"/>
  <c r="S3" i="21"/>
  <c r="R3" i="21"/>
  <c r="Q3" i="21"/>
  <c r="P3" i="21"/>
  <c r="O3" i="21"/>
  <c r="N3" i="21"/>
  <c r="M3" i="21"/>
  <c r="L3" i="21"/>
  <c r="K3" i="21"/>
  <c r="K24" i="21" s="1"/>
  <c r="I3" i="21"/>
  <c r="H3" i="21"/>
  <c r="F3" i="21"/>
  <c r="E3" i="21"/>
  <c r="D3" i="21"/>
  <c r="C3" i="21"/>
  <c r="B3" i="21"/>
  <c r="A3" i="21"/>
  <c r="AD2" i="21"/>
  <c r="AC2" i="21"/>
  <c r="AB2" i="21"/>
  <c r="V2" i="21"/>
  <c r="U2" i="21"/>
  <c r="T2" i="21"/>
  <c r="S2" i="21"/>
  <c r="S22" i="21" s="1"/>
  <c r="R2" i="21"/>
  <c r="R22" i="21" s="1"/>
  <c r="Q2" i="21"/>
  <c r="P2" i="21"/>
  <c r="P22" i="21" s="1"/>
  <c r="O2" i="21"/>
  <c r="O22" i="21" s="1"/>
  <c r="N2" i="21"/>
  <c r="N22" i="21" s="1"/>
  <c r="M2" i="21"/>
  <c r="L2" i="21"/>
  <c r="K2" i="21"/>
  <c r="I2" i="21"/>
  <c r="H2" i="21"/>
  <c r="F2" i="21"/>
  <c r="E2" i="21"/>
  <c r="D2" i="21"/>
  <c r="C2" i="21"/>
  <c r="B2" i="21"/>
  <c r="A2" i="21"/>
  <c r="J28" i="20"/>
  <c r="J27" i="20"/>
  <c r="J26" i="20"/>
  <c r="AD24" i="20"/>
  <c r="AC24" i="20"/>
  <c r="AB24" i="20"/>
  <c r="V24" i="20"/>
  <c r="U24" i="20"/>
  <c r="T24" i="20"/>
  <c r="S24" i="20"/>
  <c r="R24" i="20"/>
  <c r="Q24" i="20"/>
  <c r="P24" i="20"/>
  <c r="O24" i="20"/>
  <c r="N24" i="20"/>
  <c r="M24" i="20"/>
  <c r="L24" i="20"/>
  <c r="K24" i="20"/>
  <c r="H24" i="20"/>
  <c r="F24" i="20"/>
  <c r="E24" i="20"/>
  <c r="D24" i="20"/>
  <c r="C24" i="20"/>
  <c r="B24" i="20"/>
  <c r="A24" i="20"/>
  <c r="AD23" i="20"/>
  <c r="AC23" i="20"/>
  <c r="AB23" i="20"/>
  <c r="V23" i="20"/>
  <c r="U23" i="20"/>
  <c r="T23" i="20"/>
  <c r="S23" i="20"/>
  <c r="R23" i="20"/>
  <c r="Q23" i="20"/>
  <c r="P23" i="20"/>
  <c r="O23" i="20"/>
  <c r="N23" i="20"/>
  <c r="M23" i="20"/>
  <c r="L23" i="20"/>
  <c r="K23" i="20"/>
  <c r="I23" i="20"/>
  <c r="H23" i="20"/>
  <c r="F23" i="20"/>
  <c r="E23" i="20"/>
  <c r="D23" i="20"/>
  <c r="C23" i="20"/>
  <c r="B23" i="20"/>
  <c r="A23" i="20"/>
  <c r="AD22" i="20"/>
  <c r="AC22" i="20"/>
  <c r="AB22" i="20"/>
  <c r="V22" i="20"/>
  <c r="U22" i="20"/>
  <c r="T22" i="20"/>
  <c r="S22" i="20"/>
  <c r="R22" i="20"/>
  <c r="Q22" i="20"/>
  <c r="P22" i="20"/>
  <c r="O22" i="20"/>
  <c r="N22" i="20"/>
  <c r="M22" i="20"/>
  <c r="L22" i="20"/>
  <c r="K22" i="20"/>
  <c r="I22" i="20"/>
  <c r="H22" i="20"/>
  <c r="F22" i="20"/>
  <c r="E22" i="20"/>
  <c r="D22" i="20"/>
  <c r="C22" i="20"/>
  <c r="B22" i="20"/>
  <c r="A22" i="20"/>
  <c r="AD21" i="20"/>
  <c r="AC21" i="20"/>
  <c r="AB21" i="20"/>
  <c r="V21" i="20"/>
  <c r="U21" i="20"/>
  <c r="T21" i="20"/>
  <c r="S21" i="20"/>
  <c r="R21" i="20"/>
  <c r="Q21" i="20"/>
  <c r="P21" i="20"/>
  <c r="O21" i="20"/>
  <c r="N21" i="20"/>
  <c r="M21" i="20"/>
  <c r="L21" i="20"/>
  <c r="K21" i="20"/>
  <c r="I21" i="20"/>
  <c r="H21" i="20"/>
  <c r="F21" i="20"/>
  <c r="E21" i="20"/>
  <c r="D21" i="20"/>
  <c r="C21" i="20"/>
  <c r="B21" i="20"/>
  <c r="A21" i="20"/>
  <c r="AD20" i="20"/>
  <c r="AC20" i="20"/>
  <c r="AB20" i="20"/>
  <c r="V20" i="20"/>
  <c r="U20" i="20"/>
  <c r="T20" i="20"/>
  <c r="S20" i="20"/>
  <c r="R20" i="20"/>
  <c r="Q20" i="20"/>
  <c r="P20" i="20"/>
  <c r="O20" i="20"/>
  <c r="N20" i="20"/>
  <c r="M20" i="20"/>
  <c r="L20" i="20"/>
  <c r="K20" i="20"/>
  <c r="I20" i="20"/>
  <c r="H20" i="20"/>
  <c r="F20" i="20"/>
  <c r="E20" i="20"/>
  <c r="D20" i="20"/>
  <c r="C20" i="20"/>
  <c r="B20" i="20"/>
  <c r="A20" i="20"/>
  <c r="AD19" i="20"/>
  <c r="AC19" i="20"/>
  <c r="AB19" i="20"/>
  <c r="V19" i="20"/>
  <c r="U19" i="20"/>
  <c r="T19" i="20"/>
  <c r="S19" i="20"/>
  <c r="R19" i="20"/>
  <c r="Q19" i="20"/>
  <c r="P19" i="20"/>
  <c r="O19" i="20"/>
  <c r="N19" i="20"/>
  <c r="M19" i="20"/>
  <c r="L19" i="20"/>
  <c r="K19" i="20"/>
  <c r="I19" i="20"/>
  <c r="H19" i="20"/>
  <c r="F19" i="20"/>
  <c r="E19" i="20"/>
  <c r="D19" i="20"/>
  <c r="C19" i="20"/>
  <c r="B19" i="20"/>
  <c r="A19" i="20"/>
  <c r="AD18" i="20"/>
  <c r="AC18" i="20"/>
  <c r="AB18" i="20"/>
  <c r="V18" i="20"/>
  <c r="U18" i="20"/>
  <c r="T18" i="20"/>
  <c r="S18" i="20"/>
  <c r="R18" i="20"/>
  <c r="Q18" i="20"/>
  <c r="P18" i="20"/>
  <c r="O18" i="20"/>
  <c r="N18" i="20"/>
  <c r="M18" i="20"/>
  <c r="L18" i="20"/>
  <c r="K18" i="20"/>
  <c r="I18" i="20"/>
  <c r="H18" i="20"/>
  <c r="F18" i="20"/>
  <c r="E18" i="20"/>
  <c r="D18" i="20"/>
  <c r="C18" i="20"/>
  <c r="B18" i="20"/>
  <c r="A18" i="20"/>
  <c r="AD17" i="20"/>
  <c r="AC17" i="20"/>
  <c r="AB17" i="20"/>
  <c r="V17" i="20"/>
  <c r="U17" i="20"/>
  <c r="T17" i="20"/>
  <c r="S17" i="20"/>
  <c r="R17" i="20"/>
  <c r="Q17" i="20"/>
  <c r="P17" i="20"/>
  <c r="O17" i="20"/>
  <c r="N17" i="20"/>
  <c r="M17" i="20"/>
  <c r="L17" i="20"/>
  <c r="K17" i="20"/>
  <c r="I17" i="20"/>
  <c r="H17" i="20"/>
  <c r="F17" i="20"/>
  <c r="E17" i="20"/>
  <c r="D17" i="20"/>
  <c r="C17" i="20"/>
  <c r="B17" i="20"/>
  <c r="A17" i="20"/>
  <c r="AD16" i="20"/>
  <c r="AC16" i="20"/>
  <c r="AB16" i="20"/>
  <c r="V16" i="20"/>
  <c r="U16" i="20"/>
  <c r="T16" i="20"/>
  <c r="S16" i="20"/>
  <c r="R16" i="20"/>
  <c r="Q16" i="20"/>
  <c r="P16" i="20"/>
  <c r="O16" i="20"/>
  <c r="N16" i="20"/>
  <c r="M16" i="20"/>
  <c r="L16" i="20"/>
  <c r="K16" i="20"/>
  <c r="I16" i="20"/>
  <c r="H16" i="20"/>
  <c r="F16" i="20"/>
  <c r="E16" i="20"/>
  <c r="D16" i="20"/>
  <c r="C16" i="20"/>
  <c r="B16" i="20"/>
  <c r="A16" i="20"/>
  <c r="AD15" i="20"/>
  <c r="AC15" i="20"/>
  <c r="AB15" i="20"/>
  <c r="V15" i="20"/>
  <c r="U15" i="20"/>
  <c r="T15" i="20"/>
  <c r="S15" i="20"/>
  <c r="R15" i="20"/>
  <c r="Q15" i="20"/>
  <c r="P15" i="20"/>
  <c r="O15" i="20"/>
  <c r="N15" i="20"/>
  <c r="M15" i="20"/>
  <c r="L15" i="20"/>
  <c r="K15" i="20"/>
  <c r="I15" i="20"/>
  <c r="H15" i="20"/>
  <c r="F15" i="20"/>
  <c r="E15" i="20"/>
  <c r="D15" i="20"/>
  <c r="C15" i="20"/>
  <c r="B15" i="20"/>
  <c r="A15" i="20"/>
  <c r="AD14" i="20"/>
  <c r="AC14" i="20"/>
  <c r="AB14" i="20"/>
  <c r="V14" i="20"/>
  <c r="U14" i="20"/>
  <c r="T14" i="20"/>
  <c r="S14" i="20"/>
  <c r="R14" i="20"/>
  <c r="Q14" i="20"/>
  <c r="P14" i="20"/>
  <c r="O14" i="20"/>
  <c r="N14" i="20"/>
  <c r="M14" i="20"/>
  <c r="L14" i="20"/>
  <c r="K14" i="20"/>
  <c r="I14" i="20"/>
  <c r="H14" i="20"/>
  <c r="F14" i="20"/>
  <c r="E14" i="20"/>
  <c r="D14" i="20"/>
  <c r="C14" i="20"/>
  <c r="B14" i="20"/>
  <c r="A14" i="20"/>
  <c r="AD13" i="20"/>
  <c r="AC13" i="20"/>
  <c r="AB13" i="20"/>
  <c r="V13" i="20"/>
  <c r="U13" i="20"/>
  <c r="T13" i="20"/>
  <c r="S13" i="20"/>
  <c r="R13" i="20"/>
  <c r="Q13" i="20"/>
  <c r="P13" i="20"/>
  <c r="O13" i="20"/>
  <c r="N13" i="20"/>
  <c r="M13" i="20"/>
  <c r="L13" i="20"/>
  <c r="K13" i="20"/>
  <c r="I13" i="20"/>
  <c r="H13" i="20"/>
  <c r="F13" i="20"/>
  <c r="E13" i="20"/>
  <c r="D13" i="20"/>
  <c r="C13" i="20"/>
  <c r="B13" i="20"/>
  <c r="A13" i="20"/>
  <c r="AD12" i="20"/>
  <c r="AC12" i="20"/>
  <c r="AB12" i="20"/>
  <c r="V12" i="20"/>
  <c r="U12" i="20"/>
  <c r="T12" i="20"/>
  <c r="S12" i="20"/>
  <c r="R12" i="20"/>
  <c r="Q12" i="20"/>
  <c r="P12" i="20"/>
  <c r="O12" i="20"/>
  <c r="N12" i="20"/>
  <c r="M12" i="20"/>
  <c r="L12" i="20"/>
  <c r="K12" i="20"/>
  <c r="I12" i="20"/>
  <c r="H12" i="20"/>
  <c r="F12" i="20"/>
  <c r="E12" i="20"/>
  <c r="D12" i="20"/>
  <c r="C12" i="20"/>
  <c r="B12" i="20"/>
  <c r="A12" i="20"/>
  <c r="AD11" i="20"/>
  <c r="AC11" i="20"/>
  <c r="AB11" i="20"/>
  <c r="V11" i="20"/>
  <c r="U11" i="20"/>
  <c r="T11" i="20"/>
  <c r="S11" i="20"/>
  <c r="R11" i="20"/>
  <c r="Q11" i="20"/>
  <c r="P11" i="20"/>
  <c r="O11" i="20"/>
  <c r="N11" i="20"/>
  <c r="M11" i="20"/>
  <c r="L11" i="20"/>
  <c r="K11" i="20"/>
  <c r="I11" i="20"/>
  <c r="H11" i="20"/>
  <c r="F11" i="20"/>
  <c r="E11" i="20"/>
  <c r="D11" i="20"/>
  <c r="C11" i="20"/>
  <c r="B11" i="20"/>
  <c r="A11" i="20"/>
  <c r="AD10" i="20"/>
  <c r="AC10" i="20"/>
  <c r="AB10" i="20"/>
  <c r="V10" i="20"/>
  <c r="U10" i="20"/>
  <c r="T10" i="20"/>
  <c r="S10" i="20"/>
  <c r="R10" i="20"/>
  <c r="Q10" i="20"/>
  <c r="P10" i="20"/>
  <c r="O10" i="20"/>
  <c r="N10" i="20"/>
  <c r="M10" i="20"/>
  <c r="L10" i="20"/>
  <c r="K10" i="20"/>
  <c r="I10" i="20"/>
  <c r="H10" i="20"/>
  <c r="F10" i="20"/>
  <c r="E10" i="20"/>
  <c r="D10" i="20"/>
  <c r="C10" i="20"/>
  <c r="B10" i="20"/>
  <c r="A10" i="20"/>
  <c r="AD9" i="20"/>
  <c r="AC9" i="20"/>
  <c r="AB9" i="20"/>
  <c r="V9" i="20"/>
  <c r="U9" i="20"/>
  <c r="T9" i="20"/>
  <c r="S9" i="20"/>
  <c r="R9" i="20"/>
  <c r="Q9" i="20"/>
  <c r="P9" i="20"/>
  <c r="O9" i="20"/>
  <c r="N9" i="20"/>
  <c r="M9" i="20"/>
  <c r="L9" i="20"/>
  <c r="K9" i="20"/>
  <c r="K28" i="20" s="1"/>
  <c r="I9" i="20"/>
  <c r="H9" i="20"/>
  <c r="F9" i="20"/>
  <c r="E9" i="20"/>
  <c r="D9" i="20"/>
  <c r="C9" i="20"/>
  <c r="B9" i="20"/>
  <c r="A9" i="20"/>
  <c r="AD8" i="20"/>
  <c r="AC8" i="20"/>
  <c r="AB8" i="20"/>
  <c r="V8" i="20"/>
  <c r="U8" i="20"/>
  <c r="T8" i="20"/>
  <c r="S8" i="20"/>
  <c r="R8" i="20"/>
  <c r="Q8" i="20"/>
  <c r="P8" i="20"/>
  <c r="O8" i="20"/>
  <c r="N8" i="20"/>
  <c r="M8" i="20"/>
  <c r="L8" i="20"/>
  <c r="K8" i="20"/>
  <c r="I8" i="20"/>
  <c r="H8" i="20"/>
  <c r="F8" i="20"/>
  <c r="E8" i="20"/>
  <c r="D8" i="20"/>
  <c r="C8" i="20"/>
  <c r="B8" i="20"/>
  <c r="A8" i="20"/>
  <c r="AD7" i="20"/>
  <c r="AC7" i="20"/>
  <c r="AB7" i="20"/>
  <c r="V7" i="20"/>
  <c r="U7" i="20"/>
  <c r="T7" i="20"/>
  <c r="S7" i="20"/>
  <c r="R7" i="20"/>
  <c r="Q7" i="20"/>
  <c r="P7" i="20"/>
  <c r="O7" i="20"/>
  <c r="N7" i="20"/>
  <c r="M7" i="20"/>
  <c r="L7" i="20"/>
  <c r="K7" i="20"/>
  <c r="I7" i="20"/>
  <c r="H7" i="20"/>
  <c r="F7" i="20"/>
  <c r="E7" i="20"/>
  <c r="D7" i="20"/>
  <c r="C7" i="20"/>
  <c r="B7" i="20"/>
  <c r="A7" i="20"/>
  <c r="AD6" i="20"/>
  <c r="AC6" i="20"/>
  <c r="AB6" i="20"/>
  <c r="V6" i="20"/>
  <c r="U6" i="20"/>
  <c r="T6" i="20"/>
  <c r="S6" i="20"/>
  <c r="R6" i="20"/>
  <c r="Q6" i="20"/>
  <c r="P6" i="20"/>
  <c r="O6" i="20"/>
  <c r="N6" i="20"/>
  <c r="M6" i="20"/>
  <c r="L6" i="20"/>
  <c r="K6" i="20"/>
  <c r="I6" i="20"/>
  <c r="H6" i="20"/>
  <c r="F6" i="20"/>
  <c r="E6" i="20"/>
  <c r="D6" i="20"/>
  <c r="C6" i="20"/>
  <c r="B6" i="20"/>
  <c r="A6" i="20"/>
  <c r="AD5" i="20"/>
  <c r="AC5" i="20"/>
  <c r="AB5" i="20"/>
  <c r="V5" i="20"/>
  <c r="U5" i="20"/>
  <c r="T5" i="20"/>
  <c r="S5" i="20"/>
  <c r="R5" i="20"/>
  <c r="Q5" i="20"/>
  <c r="P5" i="20"/>
  <c r="P25" i="20" s="1"/>
  <c r="O5" i="20"/>
  <c r="N5" i="20"/>
  <c r="M5" i="20"/>
  <c r="L5" i="20"/>
  <c r="K5" i="20"/>
  <c r="I5" i="20"/>
  <c r="H5" i="20"/>
  <c r="F5" i="20"/>
  <c r="E5" i="20"/>
  <c r="D5" i="20"/>
  <c r="C5" i="20"/>
  <c r="B5" i="20"/>
  <c r="A5" i="20"/>
  <c r="AD4" i="20"/>
  <c r="AC4" i="20"/>
  <c r="AB4" i="20"/>
  <c r="V4" i="20"/>
  <c r="U4" i="20"/>
  <c r="T4" i="20"/>
  <c r="S4" i="20"/>
  <c r="R4" i="20"/>
  <c r="Q4" i="20"/>
  <c r="P4" i="20"/>
  <c r="O4" i="20"/>
  <c r="N4" i="20"/>
  <c r="M4" i="20"/>
  <c r="L4" i="20"/>
  <c r="K4" i="20"/>
  <c r="I4" i="20"/>
  <c r="H4" i="20"/>
  <c r="F4" i="20"/>
  <c r="E4" i="20"/>
  <c r="D4" i="20"/>
  <c r="C4" i="20"/>
  <c r="B4" i="20"/>
  <c r="A4" i="20"/>
  <c r="AD3" i="20"/>
  <c r="AC3" i="20"/>
  <c r="AB3" i="20"/>
  <c r="V3" i="20"/>
  <c r="U3" i="20"/>
  <c r="T3" i="20"/>
  <c r="S3" i="20"/>
  <c r="R3" i="20"/>
  <c r="Q3" i="20"/>
  <c r="P3" i="20"/>
  <c r="O3" i="20"/>
  <c r="N3" i="20"/>
  <c r="M3" i="20"/>
  <c r="L3" i="20"/>
  <c r="K3" i="20"/>
  <c r="I3" i="20"/>
  <c r="H3" i="20"/>
  <c r="F3" i="20"/>
  <c r="E3" i="20"/>
  <c r="D3" i="20"/>
  <c r="C3" i="20"/>
  <c r="B3" i="20"/>
  <c r="A3" i="20"/>
  <c r="AD2" i="20"/>
  <c r="AC2" i="20"/>
  <c r="AB2" i="20"/>
  <c r="V2" i="20"/>
  <c r="U2" i="20"/>
  <c r="T2" i="20"/>
  <c r="S2" i="20"/>
  <c r="R2" i="20"/>
  <c r="Q2" i="20"/>
  <c r="P2" i="20"/>
  <c r="O2" i="20"/>
  <c r="O25" i="20" s="1"/>
  <c r="N2" i="20"/>
  <c r="N25" i="20" s="1"/>
  <c r="M2" i="20"/>
  <c r="L2" i="20"/>
  <c r="K2" i="20"/>
  <c r="K27" i="20" s="1"/>
  <c r="I2" i="20"/>
  <c r="H2" i="20"/>
  <c r="F2" i="20"/>
  <c r="E2" i="20"/>
  <c r="D2" i="20"/>
  <c r="C2" i="20"/>
  <c r="B2" i="20"/>
  <c r="A2" i="20"/>
  <c r="J17" i="19"/>
  <c r="K16" i="19"/>
  <c r="J16" i="19"/>
  <c r="AD14" i="19"/>
  <c r="AC14" i="19"/>
  <c r="AB14" i="19"/>
  <c r="V14" i="19"/>
  <c r="U14" i="19"/>
  <c r="T14" i="19"/>
  <c r="S14" i="19"/>
  <c r="R14" i="19"/>
  <c r="Q14" i="19"/>
  <c r="P14" i="19"/>
  <c r="O14" i="19"/>
  <c r="N14" i="19"/>
  <c r="M14" i="19"/>
  <c r="L14" i="19"/>
  <c r="K14" i="19"/>
  <c r="I14" i="19"/>
  <c r="H14" i="19"/>
  <c r="F14" i="19"/>
  <c r="E14" i="19"/>
  <c r="D14" i="19"/>
  <c r="C14" i="19"/>
  <c r="B14" i="19"/>
  <c r="A14" i="19"/>
  <c r="AD13" i="19"/>
  <c r="AC13" i="19"/>
  <c r="AB13" i="19"/>
  <c r="V13" i="19"/>
  <c r="U13" i="19"/>
  <c r="T13" i="19"/>
  <c r="S13" i="19"/>
  <c r="R13" i="19"/>
  <c r="Q13" i="19"/>
  <c r="P13" i="19"/>
  <c r="O13" i="19"/>
  <c r="N13" i="19"/>
  <c r="M13" i="19"/>
  <c r="L13" i="19"/>
  <c r="K13" i="19"/>
  <c r="I13" i="19"/>
  <c r="H13" i="19"/>
  <c r="F13" i="19"/>
  <c r="E13" i="19"/>
  <c r="D13" i="19"/>
  <c r="C13" i="19"/>
  <c r="B13" i="19"/>
  <c r="A13" i="19"/>
  <c r="AD12" i="19"/>
  <c r="AC12" i="19"/>
  <c r="AB12" i="19"/>
  <c r="V12" i="19"/>
  <c r="U12" i="19"/>
  <c r="T12" i="19"/>
  <c r="S12" i="19"/>
  <c r="R12" i="19"/>
  <c r="Q12" i="19"/>
  <c r="P12" i="19"/>
  <c r="O12" i="19"/>
  <c r="N12" i="19"/>
  <c r="M12" i="19"/>
  <c r="L12" i="19"/>
  <c r="K12" i="19"/>
  <c r="I12" i="19"/>
  <c r="H12" i="19"/>
  <c r="F12" i="19"/>
  <c r="E12" i="19"/>
  <c r="D12" i="19"/>
  <c r="C12" i="19"/>
  <c r="B12" i="19"/>
  <c r="A12" i="19"/>
  <c r="AD11" i="19"/>
  <c r="AC11" i="19"/>
  <c r="AB11" i="19"/>
  <c r="V11" i="19"/>
  <c r="U11" i="19"/>
  <c r="T11" i="19"/>
  <c r="S11" i="19"/>
  <c r="R11" i="19"/>
  <c r="Q11" i="19"/>
  <c r="P11" i="19"/>
  <c r="O11" i="19"/>
  <c r="N11" i="19"/>
  <c r="M11" i="19"/>
  <c r="L11" i="19"/>
  <c r="K11" i="19"/>
  <c r="H11" i="19"/>
  <c r="F11" i="19"/>
  <c r="E11" i="19"/>
  <c r="D11" i="19"/>
  <c r="C11" i="19"/>
  <c r="B11" i="19"/>
  <c r="A11" i="19"/>
  <c r="AD10" i="19"/>
  <c r="AC10" i="19"/>
  <c r="AB10" i="19"/>
  <c r="V10" i="19"/>
  <c r="U10" i="19"/>
  <c r="T10" i="19"/>
  <c r="S10" i="19"/>
  <c r="R10" i="19"/>
  <c r="Q10" i="19"/>
  <c r="P10" i="19"/>
  <c r="O10" i="19"/>
  <c r="N10" i="19"/>
  <c r="M10" i="19"/>
  <c r="L10" i="19"/>
  <c r="K10" i="19"/>
  <c r="I10" i="19"/>
  <c r="H10" i="19"/>
  <c r="F10" i="19"/>
  <c r="E10" i="19"/>
  <c r="D10" i="19"/>
  <c r="C10" i="19"/>
  <c r="B10" i="19"/>
  <c r="A10" i="19"/>
  <c r="AD9" i="19"/>
  <c r="AC9" i="19"/>
  <c r="AB9" i="19"/>
  <c r="V9" i="19"/>
  <c r="U9" i="19"/>
  <c r="T9" i="19"/>
  <c r="S9" i="19"/>
  <c r="R9" i="19"/>
  <c r="Q9" i="19"/>
  <c r="P9" i="19"/>
  <c r="O9" i="19"/>
  <c r="N9" i="19"/>
  <c r="M9" i="19"/>
  <c r="L9" i="19"/>
  <c r="K9" i="19"/>
  <c r="I9" i="19"/>
  <c r="H9" i="19"/>
  <c r="F9" i="19"/>
  <c r="E9" i="19"/>
  <c r="D9" i="19"/>
  <c r="C9" i="19"/>
  <c r="B9" i="19"/>
  <c r="A9" i="19"/>
  <c r="AD8" i="19"/>
  <c r="AC8" i="19"/>
  <c r="AB8" i="19"/>
  <c r="V8" i="19"/>
  <c r="U8" i="19"/>
  <c r="T8" i="19"/>
  <c r="S8" i="19"/>
  <c r="R8" i="19"/>
  <c r="Q8" i="19"/>
  <c r="P8" i="19"/>
  <c r="O8" i="19"/>
  <c r="N8" i="19"/>
  <c r="M8" i="19"/>
  <c r="L8" i="19"/>
  <c r="K8" i="19"/>
  <c r="I8" i="19"/>
  <c r="H8" i="19"/>
  <c r="F8" i="19"/>
  <c r="E8" i="19"/>
  <c r="D8" i="19"/>
  <c r="C8" i="19"/>
  <c r="B8" i="19"/>
  <c r="A8" i="19"/>
  <c r="AD7" i="19"/>
  <c r="AC7" i="19"/>
  <c r="AB7" i="19"/>
  <c r="V7" i="19"/>
  <c r="U7" i="19"/>
  <c r="T7" i="19"/>
  <c r="S7" i="19"/>
  <c r="R7" i="19"/>
  <c r="Q7" i="19"/>
  <c r="P7" i="19"/>
  <c r="O7" i="19"/>
  <c r="N7" i="19"/>
  <c r="M7" i="19"/>
  <c r="L7" i="19"/>
  <c r="K7" i="19"/>
  <c r="I7" i="19"/>
  <c r="H7" i="19"/>
  <c r="F7" i="19"/>
  <c r="E7" i="19"/>
  <c r="D7" i="19"/>
  <c r="C7" i="19"/>
  <c r="B7" i="19"/>
  <c r="A7" i="19"/>
  <c r="AD6" i="19"/>
  <c r="AC6" i="19"/>
  <c r="AB6" i="19"/>
  <c r="V6" i="19"/>
  <c r="U6" i="19"/>
  <c r="T6" i="19"/>
  <c r="S6" i="19"/>
  <c r="R6" i="19"/>
  <c r="Q6" i="19"/>
  <c r="P6" i="19"/>
  <c r="O6" i="19"/>
  <c r="N6" i="19"/>
  <c r="M6" i="19"/>
  <c r="L6" i="19"/>
  <c r="K6" i="19"/>
  <c r="I6" i="19"/>
  <c r="H6" i="19"/>
  <c r="F6" i="19"/>
  <c r="E6" i="19"/>
  <c r="D6" i="19"/>
  <c r="C6" i="19"/>
  <c r="B6" i="19"/>
  <c r="A6" i="19"/>
  <c r="AD5" i="19"/>
  <c r="AC5" i="19"/>
  <c r="AB5" i="19"/>
  <c r="V5" i="19"/>
  <c r="U5" i="19"/>
  <c r="T5" i="19"/>
  <c r="S5" i="19"/>
  <c r="R5" i="19"/>
  <c r="Q5" i="19"/>
  <c r="P5" i="19"/>
  <c r="O5" i="19"/>
  <c r="N5" i="19"/>
  <c r="M5" i="19"/>
  <c r="L5" i="19"/>
  <c r="K5" i="19"/>
  <c r="I5" i="19"/>
  <c r="H5" i="19"/>
  <c r="F5" i="19"/>
  <c r="E5" i="19"/>
  <c r="D5" i="19"/>
  <c r="C5" i="19"/>
  <c r="B5" i="19"/>
  <c r="A5" i="19"/>
  <c r="AD4" i="19"/>
  <c r="AC4" i="19"/>
  <c r="AB4" i="19"/>
  <c r="V4" i="19"/>
  <c r="U4" i="19"/>
  <c r="T4" i="19"/>
  <c r="S4" i="19"/>
  <c r="R4" i="19"/>
  <c r="Q4" i="19"/>
  <c r="P4" i="19"/>
  <c r="O4" i="19"/>
  <c r="N4" i="19"/>
  <c r="M4" i="19"/>
  <c r="L4" i="19"/>
  <c r="K4" i="19"/>
  <c r="I4" i="19"/>
  <c r="H4" i="19"/>
  <c r="F4" i="19"/>
  <c r="E4" i="19"/>
  <c r="D4" i="19"/>
  <c r="C4" i="19"/>
  <c r="B4" i="19"/>
  <c r="A4" i="19"/>
  <c r="AD3" i="19"/>
  <c r="AC3" i="19"/>
  <c r="AB3" i="19"/>
  <c r="V3" i="19"/>
  <c r="U3" i="19"/>
  <c r="T3" i="19"/>
  <c r="S3" i="19"/>
  <c r="R3" i="19"/>
  <c r="Q3" i="19"/>
  <c r="P3" i="19"/>
  <c r="O3" i="19"/>
  <c r="N3" i="19"/>
  <c r="N15" i="19" s="1"/>
  <c r="M3" i="19"/>
  <c r="L3" i="19"/>
  <c r="K3" i="19"/>
  <c r="K17" i="19" s="1"/>
  <c r="I3" i="19"/>
  <c r="H3" i="19"/>
  <c r="F3" i="19"/>
  <c r="E3" i="19"/>
  <c r="D3" i="19"/>
  <c r="C3" i="19"/>
  <c r="B3" i="19"/>
  <c r="A3" i="19"/>
  <c r="AD2" i="19"/>
  <c r="AC2" i="19"/>
  <c r="AB2" i="19"/>
  <c r="V2" i="19"/>
  <c r="U2" i="19"/>
  <c r="T2" i="19"/>
  <c r="S2" i="19"/>
  <c r="R2" i="19"/>
  <c r="Q2" i="19"/>
  <c r="P2" i="19"/>
  <c r="P15" i="19" s="1"/>
  <c r="O2" i="19"/>
  <c r="N2" i="19"/>
  <c r="M2" i="19"/>
  <c r="L2" i="19"/>
  <c r="K2" i="19"/>
  <c r="I2" i="19"/>
  <c r="H2" i="19"/>
  <c r="F2" i="19"/>
  <c r="E2" i="19"/>
  <c r="D2" i="19"/>
  <c r="C2" i="19"/>
  <c r="B2" i="19"/>
  <c r="A2" i="19"/>
  <c r="J14" i="18"/>
  <c r="J13" i="18"/>
  <c r="R11" i="18"/>
  <c r="AD10" i="18"/>
  <c r="AC10" i="18"/>
  <c r="AB10" i="18"/>
  <c r="V10" i="18"/>
  <c r="U10" i="18"/>
  <c r="T10" i="18"/>
  <c r="S10" i="18"/>
  <c r="R10" i="18"/>
  <c r="Q10" i="18"/>
  <c r="P10" i="18"/>
  <c r="O10" i="18"/>
  <c r="N10" i="18"/>
  <c r="M10" i="18"/>
  <c r="L10" i="18"/>
  <c r="K10" i="18"/>
  <c r="I10" i="18"/>
  <c r="H10" i="18"/>
  <c r="F10" i="18"/>
  <c r="E10" i="18"/>
  <c r="D10" i="18"/>
  <c r="C10" i="18"/>
  <c r="B10" i="18"/>
  <c r="A10" i="18"/>
  <c r="AD9" i="18"/>
  <c r="AC9" i="18"/>
  <c r="AB9" i="18"/>
  <c r="V9" i="18"/>
  <c r="U9" i="18"/>
  <c r="T9" i="18"/>
  <c r="S9" i="18"/>
  <c r="R9" i="18"/>
  <c r="Q9" i="18"/>
  <c r="P9" i="18"/>
  <c r="O9" i="18"/>
  <c r="N9" i="18"/>
  <c r="M9" i="18"/>
  <c r="L9" i="18"/>
  <c r="K9" i="18"/>
  <c r="I9" i="18"/>
  <c r="H9" i="18"/>
  <c r="F9" i="18"/>
  <c r="E9" i="18"/>
  <c r="D9" i="18"/>
  <c r="C9" i="18"/>
  <c r="B9" i="18"/>
  <c r="A9" i="18"/>
  <c r="AD8" i="18"/>
  <c r="AC8" i="18"/>
  <c r="AB8" i="18"/>
  <c r="V8" i="18"/>
  <c r="U8" i="18"/>
  <c r="T8" i="18"/>
  <c r="S8" i="18"/>
  <c r="R8" i="18"/>
  <c r="Q8" i="18"/>
  <c r="P8" i="18"/>
  <c r="O8" i="18"/>
  <c r="N8" i="18"/>
  <c r="M8" i="18"/>
  <c r="L8" i="18"/>
  <c r="K8" i="18"/>
  <c r="I8" i="18"/>
  <c r="H8" i="18"/>
  <c r="F8" i="18"/>
  <c r="E8" i="18"/>
  <c r="D8" i="18"/>
  <c r="C8" i="18"/>
  <c r="B8" i="18"/>
  <c r="A8" i="18"/>
  <c r="AD7" i="18"/>
  <c r="AC7" i="18"/>
  <c r="AB7" i="18"/>
  <c r="V7" i="18"/>
  <c r="U7" i="18"/>
  <c r="T7" i="18"/>
  <c r="S7" i="18"/>
  <c r="R7" i="18"/>
  <c r="Q7" i="18"/>
  <c r="P7" i="18"/>
  <c r="O7" i="18"/>
  <c r="N7" i="18"/>
  <c r="M7" i="18"/>
  <c r="L7" i="18"/>
  <c r="K7" i="18"/>
  <c r="H7" i="18"/>
  <c r="F7" i="18"/>
  <c r="E7" i="18"/>
  <c r="D7" i="18"/>
  <c r="C7" i="18"/>
  <c r="B7" i="18"/>
  <c r="A7" i="18"/>
  <c r="AD6" i="18"/>
  <c r="AC6" i="18"/>
  <c r="AB6" i="18"/>
  <c r="V6" i="18"/>
  <c r="U6" i="18"/>
  <c r="T6" i="18"/>
  <c r="S6" i="18"/>
  <c r="R6" i="18"/>
  <c r="Q6" i="18"/>
  <c r="P6" i="18"/>
  <c r="O6" i="18"/>
  <c r="N6" i="18"/>
  <c r="M6" i="18"/>
  <c r="L6" i="18"/>
  <c r="K6" i="18"/>
  <c r="I6" i="18"/>
  <c r="H6" i="18"/>
  <c r="F6" i="18"/>
  <c r="E6" i="18"/>
  <c r="D6" i="18"/>
  <c r="C6" i="18"/>
  <c r="B6" i="18"/>
  <c r="A6" i="18"/>
  <c r="AD5" i="18"/>
  <c r="AC5" i="18"/>
  <c r="AB5" i="18"/>
  <c r="V5" i="18"/>
  <c r="U5" i="18"/>
  <c r="T5" i="18"/>
  <c r="S5" i="18"/>
  <c r="R5" i="18"/>
  <c r="Q5" i="18"/>
  <c r="P5" i="18"/>
  <c r="O5" i="18"/>
  <c r="N5" i="18"/>
  <c r="M5" i="18"/>
  <c r="L5" i="18"/>
  <c r="K5" i="18"/>
  <c r="I5" i="18"/>
  <c r="H5" i="18"/>
  <c r="F5" i="18"/>
  <c r="E5" i="18"/>
  <c r="D5" i="18"/>
  <c r="C5" i="18"/>
  <c r="B5" i="18"/>
  <c r="A5" i="18"/>
  <c r="AD4" i="18"/>
  <c r="AC4" i="18"/>
  <c r="AB4" i="18"/>
  <c r="V4" i="18"/>
  <c r="U4" i="18"/>
  <c r="T4" i="18"/>
  <c r="S4" i="18"/>
  <c r="R4" i="18"/>
  <c r="Q4" i="18"/>
  <c r="P4" i="18"/>
  <c r="O4" i="18"/>
  <c r="N4" i="18"/>
  <c r="M4" i="18"/>
  <c r="L4" i="18"/>
  <c r="K4" i="18"/>
  <c r="I4" i="18"/>
  <c r="H4" i="18"/>
  <c r="F4" i="18"/>
  <c r="E4" i="18"/>
  <c r="D4" i="18"/>
  <c r="C4" i="18"/>
  <c r="B4" i="18"/>
  <c r="A4" i="18"/>
  <c r="AD3" i="18"/>
  <c r="AC3" i="18"/>
  <c r="AB3" i="18"/>
  <c r="V3" i="18"/>
  <c r="U3" i="18"/>
  <c r="T3" i="18"/>
  <c r="S3" i="18"/>
  <c r="R3" i="18"/>
  <c r="Q3" i="18"/>
  <c r="P3" i="18"/>
  <c r="O3" i="18"/>
  <c r="N3" i="18"/>
  <c r="M3" i="18"/>
  <c r="L3" i="18"/>
  <c r="K3" i="18"/>
  <c r="K13" i="18" s="1"/>
  <c r="I3" i="18"/>
  <c r="H3" i="18"/>
  <c r="F3" i="18"/>
  <c r="E3" i="18"/>
  <c r="D3" i="18"/>
  <c r="C3" i="18"/>
  <c r="B3" i="18"/>
  <c r="A3" i="18"/>
  <c r="AD2" i="18"/>
  <c r="AC2" i="18"/>
  <c r="AB2" i="18"/>
  <c r="V2" i="18"/>
  <c r="U2" i="18"/>
  <c r="T2" i="18"/>
  <c r="T11" i="18" s="1"/>
  <c r="S2" i="18"/>
  <c r="S11" i="18" s="1"/>
  <c r="R2" i="18"/>
  <c r="Q2" i="18"/>
  <c r="Q11" i="18" s="1"/>
  <c r="P2" i="18"/>
  <c r="O2" i="18"/>
  <c r="O11" i="18" s="1"/>
  <c r="N2" i="18"/>
  <c r="N11" i="18" s="1"/>
  <c r="C11" i="9" s="1"/>
  <c r="M2" i="18"/>
  <c r="L2" i="18"/>
  <c r="K2" i="18"/>
  <c r="K14" i="18" s="1"/>
  <c r="I2" i="18"/>
  <c r="H2" i="18"/>
  <c r="F2" i="18"/>
  <c r="E2" i="18"/>
  <c r="D2" i="18"/>
  <c r="C2" i="18"/>
  <c r="B2" i="18"/>
  <c r="A2" i="18"/>
  <c r="J27" i="17"/>
  <c r="J26" i="17"/>
  <c r="J25" i="17"/>
  <c r="AD23" i="17"/>
  <c r="AC23" i="17"/>
  <c r="AB23" i="17"/>
  <c r="V23" i="17"/>
  <c r="U23" i="17"/>
  <c r="T23" i="17"/>
  <c r="S23" i="17"/>
  <c r="R23" i="17"/>
  <c r="Q23" i="17"/>
  <c r="P23" i="17"/>
  <c r="O23" i="17"/>
  <c r="N23" i="17"/>
  <c r="M23" i="17"/>
  <c r="L23" i="17"/>
  <c r="K23" i="17"/>
  <c r="I23" i="17"/>
  <c r="H23" i="17"/>
  <c r="F23" i="17"/>
  <c r="E23" i="17"/>
  <c r="D23" i="17"/>
  <c r="C23" i="17"/>
  <c r="B23" i="17"/>
  <c r="A23" i="17"/>
  <c r="AD22" i="17"/>
  <c r="AC22" i="17"/>
  <c r="AB22" i="17"/>
  <c r="V22" i="17"/>
  <c r="U22" i="17"/>
  <c r="T22" i="17"/>
  <c r="S22" i="17"/>
  <c r="R22" i="17"/>
  <c r="Q22" i="17"/>
  <c r="P22" i="17"/>
  <c r="O22" i="17"/>
  <c r="N22" i="17"/>
  <c r="M22" i="17"/>
  <c r="L22" i="17"/>
  <c r="K22" i="17"/>
  <c r="H22" i="17"/>
  <c r="F22" i="17"/>
  <c r="E22" i="17"/>
  <c r="D22" i="17"/>
  <c r="C22" i="17"/>
  <c r="B22" i="17"/>
  <c r="A22" i="17"/>
  <c r="AD21" i="17"/>
  <c r="AC21" i="17"/>
  <c r="AB21" i="17"/>
  <c r="V21" i="17"/>
  <c r="U21" i="17"/>
  <c r="T21" i="17"/>
  <c r="S21" i="17"/>
  <c r="R21" i="17"/>
  <c r="Q21" i="17"/>
  <c r="P21" i="17"/>
  <c r="O21" i="17"/>
  <c r="N21" i="17"/>
  <c r="M21" i="17"/>
  <c r="L21" i="17"/>
  <c r="K21" i="17"/>
  <c r="I21" i="17"/>
  <c r="H21" i="17"/>
  <c r="F21" i="17"/>
  <c r="E21" i="17"/>
  <c r="D21" i="17"/>
  <c r="C21" i="17"/>
  <c r="B21" i="17"/>
  <c r="A21" i="17"/>
  <c r="AD20" i="17"/>
  <c r="AC20" i="17"/>
  <c r="AB20" i="17"/>
  <c r="V20" i="17"/>
  <c r="U20" i="17"/>
  <c r="T20" i="17"/>
  <c r="S20" i="17"/>
  <c r="R20" i="17"/>
  <c r="Q20" i="17"/>
  <c r="P20" i="17"/>
  <c r="O20" i="17"/>
  <c r="N20" i="17"/>
  <c r="M20" i="17"/>
  <c r="L20" i="17"/>
  <c r="K20" i="17"/>
  <c r="I20" i="17"/>
  <c r="H20" i="17"/>
  <c r="F20" i="17"/>
  <c r="E20" i="17"/>
  <c r="D20" i="17"/>
  <c r="C20" i="17"/>
  <c r="B20" i="17"/>
  <c r="A20" i="17"/>
  <c r="AD19" i="17"/>
  <c r="AC19" i="17"/>
  <c r="AB19" i="17"/>
  <c r="V19" i="17"/>
  <c r="U19" i="17"/>
  <c r="T19" i="17"/>
  <c r="S19" i="17"/>
  <c r="R19" i="17"/>
  <c r="Q19" i="17"/>
  <c r="P19" i="17"/>
  <c r="O19" i="17"/>
  <c r="N19" i="17"/>
  <c r="M19" i="17"/>
  <c r="L19" i="17"/>
  <c r="K19" i="17"/>
  <c r="I19" i="17"/>
  <c r="H19" i="17"/>
  <c r="F19" i="17"/>
  <c r="E19" i="17"/>
  <c r="D19" i="17"/>
  <c r="C19" i="17"/>
  <c r="B19" i="17"/>
  <c r="A19" i="17"/>
  <c r="AD18" i="17"/>
  <c r="AC18" i="17"/>
  <c r="AB18" i="17"/>
  <c r="V18" i="17"/>
  <c r="U18" i="17"/>
  <c r="T18" i="17"/>
  <c r="S18" i="17"/>
  <c r="R18" i="17"/>
  <c r="Q18" i="17"/>
  <c r="P18" i="17"/>
  <c r="O18" i="17"/>
  <c r="N18" i="17"/>
  <c r="M18" i="17"/>
  <c r="L18" i="17"/>
  <c r="K18" i="17"/>
  <c r="I18" i="17"/>
  <c r="H18" i="17"/>
  <c r="F18" i="17"/>
  <c r="E18" i="17"/>
  <c r="D18" i="17"/>
  <c r="C18" i="17"/>
  <c r="B18" i="17"/>
  <c r="A18" i="17"/>
  <c r="AD17" i="17"/>
  <c r="AC17" i="17"/>
  <c r="AB17" i="17"/>
  <c r="V17" i="17"/>
  <c r="U17" i="17"/>
  <c r="T17" i="17"/>
  <c r="S17" i="17"/>
  <c r="R17" i="17"/>
  <c r="Q17" i="17"/>
  <c r="P17" i="17"/>
  <c r="O17" i="17"/>
  <c r="N17" i="17"/>
  <c r="M17" i="17"/>
  <c r="L17" i="17"/>
  <c r="K17" i="17"/>
  <c r="I17" i="17"/>
  <c r="H17" i="17"/>
  <c r="F17" i="17"/>
  <c r="E17" i="17"/>
  <c r="D17" i="17"/>
  <c r="C17" i="17"/>
  <c r="B17" i="17"/>
  <c r="A17" i="17"/>
  <c r="AD16" i="17"/>
  <c r="AC16" i="17"/>
  <c r="AB16" i="17"/>
  <c r="V16" i="17"/>
  <c r="U16" i="17"/>
  <c r="T16" i="17"/>
  <c r="S16" i="17"/>
  <c r="R16" i="17"/>
  <c r="Q16" i="17"/>
  <c r="P16" i="17"/>
  <c r="O16" i="17"/>
  <c r="N16" i="17"/>
  <c r="M16" i="17"/>
  <c r="L16" i="17"/>
  <c r="K16" i="17"/>
  <c r="I16" i="17"/>
  <c r="H16" i="17"/>
  <c r="F16" i="17"/>
  <c r="E16" i="17"/>
  <c r="D16" i="17"/>
  <c r="C16" i="17"/>
  <c r="B16" i="17"/>
  <c r="A16" i="17"/>
  <c r="AD15" i="17"/>
  <c r="AC15" i="17"/>
  <c r="AB15" i="17"/>
  <c r="V15" i="17"/>
  <c r="U15" i="17"/>
  <c r="T15" i="17"/>
  <c r="S15" i="17"/>
  <c r="R15" i="17"/>
  <c r="Q15" i="17"/>
  <c r="P15" i="17"/>
  <c r="O15" i="17"/>
  <c r="N15" i="17"/>
  <c r="M15" i="17"/>
  <c r="L15" i="17"/>
  <c r="K15" i="17"/>
  <c r="I15" i="17"/>
  <c r="H15" i="17"/>
  <c r="F15" i="17"/>
  <c r="E15" i="17"/>
  <c r="D15" i="17"/>
  <c r="C15" i="17"/>
  <c r="B15" i="17"/>
  <c r="A15" i="17"/>
  <c r="AD14" i="17"/>
  <c r="AC14" i="17"/>
  <c r="AB14" i="17"/>
  <c r="V14" i="17"/>
  <c r="U14" i="17"/>
  <c r="T14" i="17"/>
  <c r="S14" i="17"/>
  <c r="R14" i="17"/>
  <c r="Q14" i="17"/>
  <c r="P14" i="17"/>
  <c r="O14" i="17"/>
  <c r="N14" i="17"/>
  <c r="M14" i="17"/>
  <c r="L14" i="17"/>
  <c r="K14" i="17"/>
  <c r="I14" i="17"/>
  <c r="H14" i="17"/>
  <c r="F14" i="17"/>
  <c r="E14" i="17"/>
  <c r="D14" i="17"/>
  <c r="C14" i="17"/>
  <c r="B14" i="17"/>
  <c r="A14" i="17"/>
  <c r="AD13" i="17"/>
  <c r="AC13" i="17"/>
  <c r="AB13" i="17"/>
  <c r="V13" i="17"/>
  <c r="U13" i="17"/>
  <c r="T13" i="17"/>
  <c r="S13" i="17"/>
  <c r="R13" i="17"/>
  <c r="Q13" i="17"/>
  <c r="P13" i="17"/>
  <c r="O13" i="17"/>
  <c r="N13" i="17"/>
  <c r="M13" i="17"/>
  <c r="L13" i="17"/>
  <c r="K13" i="17"/>
  <c r="I13" i="17"/>
  <c r="H13" i="17"/>
  <c r="F13" i="17"/>
  <c r="E13" i="17"/>
  <c r="D13" i="17"/>
  <c r="C13" i="17"/>
  <c r="B13" i="17"/>
  <c r="A13" i="17"/>
  <c r="AD12" i="17"/>
  <c r="AC12" i="17"/>
  <c r="AB12" i="17"/>
  <c r="V12" i="17"/>
  <c r="U12" i="17"/>
  <c r="T12" i="17"/>
  <c r="S12" i="17"/>
  <c r="R12" i="17"/>
  <c r="Q12" i="17"/>
  <c r="P12" i="17"/>
  <c r="O12" i="17"/>
  <c r="N12" i="17"/>
  <c r="M12" i="17"/>
  <c r="L12" i="17"/>
  <c r="K12" i="17"/>
  <c r="I12" i="17"/>
  <c r="H12" i="17"/>
  <c r="F12" i="17"/>
  <c r="E12" i="17"/>
  <c r="D12" i="17"/>
  <c r="C12" i="17"/>
  <c r="B12" i="17"/>
  <c r="A12" i="17"/>
  <c r="AD11" i="17"/>
  <c r="AC11" i="17"/>
  <c r="AB11" i="17"/>
  <c r="V11" i="17"/>
  <c r="U11" i="17"/>
  <c r="T11" i="17"/>
  <c r="S11" i="17"/>
  <c r="R11" i="17"/>
  <c r="Q11" i="17"/>
  <c r="P11" i="17"/>
  <c r="O11" i="17"/>
  <c r="N11" i="17"/>
  <c r="M11" i="17"/>
  <c r="L11" i="17"/>
  <c r="K11" i="17"/>
  <c r="K26" i="17" s="1"/>
  <c r="I11" i="17"/>
  <c r="H11" i="17"/>
  <c r="F11" i="17"/>
  <c r="E11" i="17"/>
  <c r="D11" i="17"/>
  <c r="C11" i="17"/>
  <c r="B11" i="17"/>
  <c r="A11" i="17"/>
  <c r="AD10" i="17"/>
  <c r="AC10" i="17"/>
  <c r="AB10" i="17"/>
  <c r="V10" i="17"/>
  <c r="U10" i="17"/>
  <c r="T10" i="17"/>
  <c r="S10" i="17"/>
  <c r="R10" i="17"/>
  <c r="Q10" i="17"/>
  <c r="P10" i="17"/>
  <c r="O10" i="17"/>
  <c r="N10" i="17"/>
  <c r="M10" i="17"/>
  <c r="L10" i="17"/>
  <c r="K10" i="17"/>
  <c r="I10" i="17"/>
  <c r="H10" i="17"/>
  <c r="F10" i="17"/>
  <c r="E10" i="17"/>
  <c r="D10" i="17"/>
  <c r="C10" i="17"/>
  <c r="B10" i="17"/>
  <c r="A10" i="17"/>
  <c r="AD9" i="17"/>
  <c r="AC9" i="17"/>
  <c r="AB9" i="17"/>
  <c r="V9" i="17"/>
  <c r="U9" i="17"/>
  <c r="T9" i="17"/>
  <c r="S9" i="17"/>
  <c r="R9" i="17"/>
  <c r="Q9" i="17"/>
  <c r="P9" i="17"/>
  <c r="O9" i="17"/>
  <c r="N9" i="17"/>
  <c r="M9" i="17"/>
  <c r="L9" i="17"/>
  <c r="K9" i="17"/>
  <c r="I9" i="17"/>
  <c r="H9" i="17"/>
  <c r="F9" i="17"/>
  <c r="E9" i="17"/>
  <c r="D9" i="17"/>
  <c r="C9" i="17"/>
  <c r="B9" i="17"/>
  <c r="A9" i="17"/>
  <c r="AD8" i="17"/>
  <c r="AC8" i="17"/>
  <c r="AB8" i="17"/>
  <c r="V8" i="17"/>
  <c r="U8" i="17"/>
  <c r="T8" i="17"/>
  <c r="S8" i="17"/>
  <c r="R8" i="17"/>
  <c r="Q8" i="17"/>
  <c r="P8" i="17"/>
  <c r="O8" i="17"/>
  <c r="N8" i="17"/>
  <c r="M8" i="17"/>
  <c r="L8" i="17"/>
  <c r="K8" i="17"/>
  <c r="I8" i="17"/>
  <c r="H8" i="17"/>
  <c r="F8" i="17"/>
  <c r="E8" i="17"/>
  <c r="D8" i="17"/>
  <c r="C8" i="17"/>
  <c r="B8" i="17"/>
  <c r="A8" i="17"/>
  <c r="AD7" i="17"/>
  <c r="AC7" i="17"/>
  <c r="AB7" i="17"/>
  <c r="V7" i="17"/>
  <c r="U7" i="17"/>
  <c r="T7" i="17"/>
  <c r="S7" i="17"/>
  <c r="R7" i="17"/>
  <c r="Q7" i="17"/>
  <c r="P7" i="17"/>
  <c r="O7" i="17"/>
  <c r="N7" i="17"/>
  <c r="M7" i="17"/>
  <c r="L7" i="17"/>
  <c r="K7" i="17"/>
  <c r="I7" i="17"/>
  <c r="H7" i="17"/>
  <c r="F7" i="17"/>
  <c r="E7" i="17"/>
  <c r="D7" i="17"/>
  <c r="C7" i="17"/>
  <c r="B7" i="17"/>
  <c r="A7" i="17"/>
  <c r="AD6" i="17"/>
  <c r="AC6" i="17"/>
  <c r="AB6" i="17"/>
  <c r="V6" i="17"/>
  <c r="U6" i="17"/>
  <c r="T6" i="17"/>
  <c r="S6" i="17"/>
  <c r="R6" i="17"/>
  <c r="Q6" i="17"/>
  <c r="P6" i="17"/>
  <c r="O6" i="17"/>
  <c r="N6" i="17"/>
  <c r="M6" i="17"/>
  <c r="L6" i="17"/>
  <c r="K6" i="17"/>
  <c r="I6" i="17"/>
  <c r="H6" i="17"/>
  <c r="F6" i="17"/>
  <c r="E6" i="17"/>
  <c r="D6" i="17"/>
  <c r="C6" i="17"/>
  <c r="B6" i="17"/>
  <c r="A6" i="17"/>
  <c r="AD5" i="17"/>
  <c r="AC5" i="17"/>
  <c r="AB5" i="17"/>
  <c r="V5" i="17"/>
  <c r="U5" i="17"/>
  <c r="T5" i="17"/>
  <c r="S5" i="17"/>
  <c r="R5" i="17"/>
  <c r="Q5" i="17"/>
  <c r="P5" i="17"/>
  <c r="O5" i="17"/>
  <c r="N5" i="17"/>
  <c r="M5" i="17"/>
  <c r="L5" i="17"/>
  <c r="K5" i="17"/>
  <c r="I5" i="17"/>
  <c r="H5" i="17"/>
  <c r="F5" i="17"/>
  <c r="E5" i="17"/>
  <c r="D5" i="17"/>
  <c r="C5" i="17"/>
  <c r="B5" i="17"/>
  <c r="A5" i="17"/>
  <c r="AD4" i="17"/>
  <c r="AC4" i="17"/>
  <c r="AB4" i="17"/>
  <c r="V4" i="17"/>
  <c r="U4" i="17"/>
  <c r="T4" i="17"/>
  <c r="S4" i="17"/>
  <c r="R4" i="17"/>
  <c r="Q4" i="17"/>
  <c r="P4" i="17"/>
  <c r="O4" i="17"/>
  <c r="N4" i="17"/>
  <c r="M4" i="17"/>
  <c r="L4" i="17"/>
  <c r="K4" i="17"/>
  <c r="I4" i="17"/>
  <c r="H4" i="17"/>
  <c r="F4" i="17"/>
  <c r="E4" i="17"/>
  <c r="D4" i="17"/>
  <c r="C4" i="17"/>
  <c r="B4" i="17"/>
  <c r="A4" i="17"/>
  <c r="AD3" i="17"/>
  <c r="AC3" i="17"/>
  <c r="AB3" i="17"/>
  <c r="V3" i="17"/>
  <c r="U3" i="17"/>
  <c r="T3" i="17"/>
  <c r="S3" i="17"/>
  <c r="R3" i="17"/>
  <c r="Q3" i="17"/>
  <c r="P3" i="17"/>
  <c r="O3" i="17"/>
  <c r="N3" i="17"/>
  <c r="M3" i="17"/>
  <c r="L3" i="17"/>
  <c r="K3" i="17"/>
  <c r="I3" i="17"/>
  <c r="H3" i="17"/>
  <c r="F3" i="17"/>
  <c r="E3" i="17"/>
  <c r="D3" i="17"/>
  <c r="C3" i="17"/>
  <c r="B3" i="17"/>
  <c r="A3" i="17"/>
  <c r="AD2" i="17"/>
  <c r="AC2" i="17"/>
  <c r="AB2" i="17"/>
  <c r="V2" i="17"/>
  <c r="U2" i="17"/>
  <c r="T2" i="17"/>
  <c r="S2" i="17"/>
  <c r="R2" i="17"/>
  <c r="R24" i="17" s="1"/>
  <c r="Q2" i="17"/>
  <c r="P2" i="17"/>
  <c r="O2" i="17"/>
  <c r="N2" i="17"/>
  <c r="M2" i="17"/>
  <c r="L2" i="17"/>
  <c r="K2" i="17"/>
  <c r="I2" i="17"/>
  <c r="H2" i="17"/>
  <c r="F2" i="17"/>
  <c r="E2" i="17"/>
  <c r="D2" i="17"/>
  <c r="C2" i="17"/>
  <c r="B2" i="17"/>
  <c r="A2" i="17"/>
  <c r="J20" i="16"/>
  <c r="J19" i="16"/>
  <c r="AD17" i="16"/>
  <c r="AC17" i="16"/>
  <c r="AB17" i="16"/>
  <c r="V17" i="16"/>
  <c r="U17" i="16"/>
  <c r="T17" i="16"/>
  <c r="S17" i="16"/>
  <c r="R17" i="16"/>
  <c r="Q17" i="16"/>
  <c r="P17" i="16"/>
  <c r="O17" i="16"/>
  <c r="N17" i="16"/>
  <c r="M17" i="16"/>
  <c r="L17" i="16"/>
  <c r="K17" i="16"/>
  <c r="I17" i="16"/>
  <c r="H17" i="16"/>
  <c r="F17" i="16"/>
  <c r="E17" i="16"/>
  <c r="D17" i="16"/>
  <c r="C17" i="16"/>
  <c r="B17" i="16"/>
  <c r="A17" i="16"/>
  <c r="AD16" i="16"/>
  <c r="AC16" i="16"/>
  <c r="AB16" i="16"/>
  <c r="V16" i="16"/>
  <c r="U16" i="16"/>
  <c r="T16" i="16"/>
  <c r="S16" i="16"/>
  <c r="R16" i="16"/>
  <c r="Q16" i="16"/>
  <c r="P16" i="16"/>
  <c r="O16" i="16"/>
  <c r="N16" i="16"/>
  <c r="M16" i="16"/>
  <c r="L16" i="16"/>
  <c r="K16" i="16"/>
  <c r="I16" i="16"/>
  <c r="H16" i="16"/>
  <c r="F16" i="16"/>
  <c r="E16" i="16"/>
  <c r="D16" i="16"/>
  <c r="C16" i="16"/>
  <c r="B16" i="16"/>
  <c r="A16" i="16"/>
  <c r="AD15" i="16"/>
  <c r="AC15" i="16"/>
  <c r="AB15" i="16"/>
  <c r="V15" i="16"/>
  <c r="U15" i="16"/>
  <c r="T15" i="16"/>
  <c r="S15" i="16"/>
  <c r="R15" i="16"/>
  <c r="Q15" i="16"/>
  <c r="P15" i="16"/>
  <c r="O15" i="16"/>
  <c r="N15" i="16"/>
  <c r="M15" i="16"/>
  <c r="L15" i="16"/>
  <c r="K15" i="16"/>
  <c r="I15" i="16"/>
  <c r="H15" i="16"/>
  <c r="F15" i="16"/>
  <c r="E15" i="16"/>
  <c r="D15" i="16"/>
  <c r="C15" i="16"/>
  <c r="B15" i="16"/>
  <c r="A15" i="16"/>
  <c r="AD14" i="16"/>
  <c r="AC14" i="16"/>
  <c r="AB14" i="16"/>
  <c r="V14" i="16"/>
  <c r="U14" i="16"/>
  <c r="T14" i="16"/>
  <c r="S14" i="16"/>
  <c r="R14" i="16"/>
  <c r="Q14" i="16"/>
  <c r="P14" i="16"/>
  <c r="O14" i="16"/>
  <c r="N14" i="16"/>
  <c r="M14" i="16"/>
  <c r="L14" i="16"/>
  <c r="K14" i="16"/>
  <c r="I14" i="16"/>
  <c r="H14" i="16"/>
  <c r="F14" i="16"/>
  <c r="E14" i="16"/>
  <c r="D14" i="16"/>
  <c r="C14" i="16"/>
  <c r="B14" i="16"/>
  <c r="A14" i="16"/>
  <c r="AD13" i="16"/>
  <c r="AC13" i="16"/>
  <c r="AB13" i="16"/>
  <c r="V13" i="16"/>
  <c r="U13" i="16"/>
  <c r="T13" i="16"/>
  <c r="S13" i="16"/>
  <c r="R13" i="16"/>
  <c r="Q13" i="16"/>
  <c r="P13" i="16"/>
  <c r="O13" i="16"/>
  <c r="N13" i="16"/>
  <c r="M13" i="16"/>
  <c r="L13" i="16"/>
  <c r="K13" i="16"/>
  <c r="I13" i="16"/>
  <c r="H13" i="16"/>
  <c r="F13" i="16"/>
  <c r="E13" i="16"/>
  <c r="D13" i="16"/>
  <c r="C13" i="16"/>
  <c r="B13" i="16"/>
  <c r="A13" i="16"/>
  <c r="AD12" i="16"/>
  <c r="AC12" i="16"/>
  <c r="AB12" i="16"/>
  <c r="V12" i="16"/>
  <c r="U12" i="16"/>
  <c r="T12" i="16"/>
  <c r="S12" i="16"/>
  <c r="R12" i="16"/>
  <c r="Q12" i="16"/>
  <c r="P12" i="16"/>
  <c r="O12" i="16"/>
  <c r="N12" i="16"/>
  <c r="M12" i="16"/>
  <c r="L12" i="16"/>
  <c r="K12" i="16"/>
  <c r="I12" i="16"/>
  <c r="H12" i="16"/>
  <c r="F12" i="16"/>
  <c r="E12" i="16"/>
  <c r="D12" i="16"/>
  <c r="C12" i="16"/>
  <c r="B12" i="16"/>
  <c r="A12" i="16"/>
  <c r="AD11" i="16"/>
  <c r="AC11" i="16"/>
  <c r="AB11" i="16"/>
  <c r="V11" i="16"/>
  <c r="U11" i="16"/>
  <c r="T11" i="16"/>
  <c r="S11" i="16"/>
  <c r="R11" i="16"/>
  <c r="Q11" i="16"/>
  <c r="P11" i="16"/>
  <c r="O11" i="16"/>
  <c r="N11" i="16"/>
  <c r="M11" i="16"/>
  <c r="L11" i="16"/>
  <c r="K11" i="16"/>
  <c r="I11" i="16"/>
  <c r="H11" i="16"/>
  <c r="F11" i="16"/>
  <c r="E11" i="16"/>
  <c r="D11" i="16"/>
  <c r="C11" i="16"/>
  <c r="B11" i="16"/>
  <c r="A11" i="16"/>
  <c r="AD10" i="16"/>
  <c r="AC10" i="16"/>
  <c r="AB10" i="16"/>
  <c r="V10" i="16"/>
  <c r="U10" i="16"/>
  <c r="T10" i="16"/>
  <c r="S10" i="16"/>
  <c r="R10" i="16"/>
  <c r="Q10" i="16"/>
  <c r="P10" i="16"/>
  <c r="O10" i="16"/>
  <c r="N10" i="16"/>
  <c r="M10" i="16"/>
  <c r="L10" i="16"/>
  <c r="K10" i="16"/>
  <c r="I10" i="16"/>
  <c r="H10" i="16"/>
  <c r="F10" i="16"/>
  <c r="E10" i="16"/>
  <c r="D10" i="16"/>
  <c r="C10" i="16"/>
  <c r="B10" i="16"/>
  <c r="A10" i="16"/>
  <c r="AD9" i="16"/>
  <c r="AC9" i="16"/>
  <c r="AB9" i="16"/>
  <c r="V9" i="16"/>
  <c r="U9" i="16"/>
  <c r="T9" i="16"/>
  <c r="S9" i="16"/>
  <c r="R9" i="16"/>
  <c r="Q9" i="16"/>
  <c r="P9" i="16"/>
  <c r="O9" i="16"/>
  <c r="N9" i="16"/>
  <c r="M9" i="16"/>
  <c r="L9" i="16"/>
  <c r="K9" i="16"/>
  <c r="I9" i="16"/>
  <c r="H9" i="16"/>
  <c r="F9" i="16"/>
  <c r="E9" i="16"/>
  <c r="D9" i="16"/>
  <c r="C9" i="16"/>
  <c r="B9" i="16"/>
  <c r="A9" i="16"/>
  <c r="AD8" i="16"/>
  <c r="AC8" i="16"/>
  <c r="AB8" i="16"/>
  <c r="V8" i="16"/>
  <c r="U8" i="16"/>
  <c r="T8" i="16"/>
  <c r="S8" i="16"/>
  <c r="R8" i="16"/>
  <c r="Q8" i="16"/>
  <c r="P8" i="16"/>
  <c r="O8" i="16"/>
  <c r="N8" i="16"/>
  <c r="M8" i="16"/>
  <c r="L8" i="16"/>
  <c r="K8" i="16"/>
  <c r="I8" i="16"/>
  <c r="H8" i="16"/>
  <c r="F8" i="16"/>
  <c r="E8" i="16"/>
  <c r="D8" i="16"/>
  <c r="C8" i="16"/>
  <c r="B8" i="16"/>
  <c r="A8" i="16"/>
  <c r="AD7" i="16"/>
  <c r="AC7" i="16"/>
  <c r="AB7" i="16"/>
  <c r="V7" i="16"/>
  <c r="U7" i="16"/>
  <c r="T7" i="16"/>
  <c r="S7" i="16"/>
  <c r="R7" i="16"/>
  <c r="Q7" i="16"/>
  <c r="P7" i="16"/>
  <c r="O7" i="16"/>
  <c r="N7" i="16"/>
  <c r="M7" i="16"/>
  <c r="L7" i="16"/>
  <c r="K7" i="16"/>
  <c r="K19" i="16" s="1"/>
  <c r="I7" i="16"/>
  <c r="H7" i="16"/>
  <c r="F7" i="16"/>
  <c r="E7" i="16"/>
  <c r="D7" i="16"/>
  <c r="C7" i="16"/>
  <c r="B7" i="16"/>
  <c r="A7" i="16"/>
  <c r="AD6" i="16"/>
  <c r="AC6" i="16"/>
  <c r="AB6" i="16"/>
  <c r="V6" i="16"/>
  <c r="U6" i="16"/>
  <c r="T6" i="16"/>
  <c r="S6" i="16"/>
  <c r="S18" i="16" s="1"/>
  <c r="H9" i="9" s="1"/>
  <c r="R6" i="16"/>
  <c r="Q6" i="16"/>
  <c r="P6" i="16"/>
  <c r="O6" i="16"/>
  <c r="N6" i="16"/>
  <c r="M6" i="16"/>
  <c r="L6" i="16"/>
  <c r="K6" i="16"/>
  <c r="I6" i="16"/>
  <c r="H6" i="16"/>
  <c r="F6" i="16"/>
  <c r="E6" i="16"/>
  <c r="D6" i="16"/>
  <c r="C6" i="16"/>
  <c r="B6" i="16"/>
  <c r="A6" i="16"/>
  <c r="AD5" i="16"/>
  <c r="AC5" i="16"/>
  <c r="AB5" i="16"/>
  <c r="V5" i="16"/>
  <c r="U5" i="16"/>
  <c r="T5" i="16"/>
  <c r="S5" i="16"/>
  <c r="R5" i="16"/>
  <c r="Q5" i="16"/>
  <c r="P5" i="16"/>
  <c r="O5" i="16"/>
  <c r="N5" i="16"/>
  <c r="M5" i="16"/>
  <c r="L5" i="16"/>
  <c r="K5" i="16"/>
  <c r="I5" i="16"/>
  <c r="H5" i="16"/>
  <c r="F5" i="16"/>
  <c r="E5" i="16"/>
  <c r="D5" i="16"/>
  <c r="C5" i="16"/>
  <c r="B5" i="16"/>
  <c r="A5" i="16"/>
  <c r="AD4" i="16"/>
  <c r="AC4" i="16"/>
  <c r="AB4" i="16"/>
  <c r="V4" i="16"/>
  <c r="U4" i="16"/>
  <c r="T4" i="16"/>
  <c r="S4" i="16"/>
  <c r="R4" i="16"/>
  <c r="Q4" i="16"/>
  <c r="P4" i="16"/>
  <c r="O4" i="16"/>
  <c r="N4" i="16"/>
  <c r="M4" i="16"/>
  <c r="L4" i="16"/>
  <c r="K4" i="16"/>
  <c r="I4" i="16"/>
  <c r="H4" i="16"/>
  <c r="F4" i="16"/>
  <c r="E4" i="16"/>
  <c r="D4" i="16"/>
  <c r="C4" i="16"/>
  <c r="B4" i="16"/>
  <c r="A4" i="16"/>
  <c r="AD3" i="16"/>
  <c r="AC3" i="16"/>
  <c r="AB3" i="16"/>
  <c r="V3" i="16"/>
  <c r="U3" i="16"/>
  <c r="T3" i="16"/>
  <c r="S3" i="16"/>
  <c r="R3" i="16"/>
  <c r="Q3" i="16"/>
  <c r="P3" i="16"/>
  <c r="O3" i="16"/>
  <c r="N3" i="16"/>
  <c r="M3" i="16"/>
  <c r="L3" i="16"/>
  <c r="K3" i="16"/>
  <c r="H3" i="16"/>
  <c r="F3" i="16"/>
  <c r="E3" i="16"/>
  <c r="D3" i="16"/>
  <c r="C3" i="16"/>
  <c r="B3" i="16"/>
  <c r="A3" i="16"/>
  <c r="AD2" i="16"/>
  <c r="AC2" i="16"/>
  <c r="AB2" i="16"/>
  <c r="V2" i="16"/>
  <c r="U2" i="16"/>
  <c r="T2" i="16"/>
  <c r="S2" i="16"/>
  <c r="R2" i="16"/>
  <c r="Q2" i="16"/>
  <c r="P2" i="16"/>
  <c r="O2" i="16"/>
  <c r="O18" i="16" s="1"/>
  <c r="N2" i="16"/>
  <c r="N18" i="16" s="1"/>
  <c r="C9" i="9" s="1"/>
  <c r="M2" i="16"/>
  <c r="L2" i="16"/>
  <c r="K2" i="16"/>
  <c r="I2" i="16"/>
  <c r="H2" i="16"/>
  <c r="F2" i="16"/>
  <c r="E2" i="16"/>
  <c r="D2" i="16"/>
  <c r="C2" i="16"/>
  <c r="B2" i="16"/>
  <c r="A2" i="16"/>
  <c r="J26" i="15"/>
  <c r="K25" i="15"/>
  <c r="J25" i="15"/>
  <c r="J24" i="15"/>
  <c r="J23" i="15"/>
  <c r="J22" i="15"/>
  <c r="AD20" i="15"/>
  <c r="AC20" i="15"/>
  <c r="AB20" i="15"/>
  <c r="V20" i="15"/>
  <c r="U20" i="15"/>
  <c r="T20" i="15"/>
  <c r="S20" i="15"/>
  <c r="R20" i="15"/>
  <c r="Q20" i="15"/>
  <c r="P20" i="15"/>
  <c r="O20" i="15"/>
  <c r="N20" i="15"/>
  <c r="M20" i="15"/>
  <c r="L20" i="15"/>
  <c r="K20" i="15"/>
  <c r="I20" i="15"/>
  <c r="H20" i="15"/>
  <c r="F20" i="15"/>
  <c r="E20" i="15"/>
  <c r="D20" i="15"/>
  <c r="C20" i="15"/>
  <c r="B20" i="15"/>
  <c r="A20" i="15"/>
  <c r="AD19" i="15"/>
  <c r="AC19" i="15"/>
  <c r="AB19" i="15"/>
  <c r="V19" i="15"/>
  <c r="U19" i="15"/>
  <c r="T19" i="15"/>
  <c r="S19" i="15"/>
  <c r="R19" i="15"/>
  <c r="Q19" i="15"/>
  <c r="P19" i="15"/>
  <c r="O19" i="15"/>
  <c r="N19" i="15"/>
  <c r="M19" i="15"/>
  <c r="L19" i="15"/>
  <c r="K19" i="15"/>
  <c r="I19" i="15"/>
  <c r="H19" i="15"/>
  <c r="F19" i="15"/>
  <c r="E19" i="15"/>
  <c r="D19" i="15"/>
  <c r="C19" i="15"/>
  <c r="B19" i="15"/>
  <c r="A19" i="15"/>
  <c r="AD18" i="15"/>
  <c r="AC18" i="15"/>
  <c r="AB18" i="15"/>
  <c r="V18" i="15"/>
  <c r="U18" i="15"/>
  <c r="T18" i="15"/>
  <c r="S18" i="15"/>
  <c r="R18" i="15"/>
  <c r="Q18" i="15"/>
  <c r="P18" i="15"/>
  <c r="O18" i="15"/>
  <c r="N18" i="15"/>
  <c r="M18" i="15"/>
  <c r="L18" i="15"/>
  <c r="K18" i="15"/>
  <c r="I18" i="15"/>
  <c r="H18" i="15"/>
  <c r="F18" i="15"/>
  <c r="E18" i="15"/>
  <c r="D18" i="15"/>
  <c r="C18" i="15"/>
  <c r="B18" i="15"/>
  <c r="A18" i="15"/>
  <c r="AD17" i="15"/>
  <c r="AC17" i="15"/>
  <c r="AB17" i="15"/>
  <c r="V17" i="15"/>
  <c r="U17" i="15"/>
  <c r="T17" i="15"/>
  <c r="S17" i="15"/>
  <c r="R17" i="15"/>
  <c r="Q17" i="15"/>
  <c r="P17" i="15"/>
  <c r="O17" i="15"/>
  <c r="N17" i="15"/>
  <c r="M17" i="15"/>
  <c r="L17" i="15"/>
  <c r="K17" i="15"/>
  <c r="I17" i="15"/>
  <c r="H17" i="15"/>
  <c r="F17" i="15"/>
  <c r="E17" i="15"/>
  <c r="D17" i="15"/>
  <c r="C17" i="15"/>
  <c r="B17" i="15"/>
  <c r="A17" i="15"/>
  <c r="AD16" i="15"/>
  <c r="AC16" i="15"/>
  <c r="AB16" i="15"/>
  <c r="V16" i="15"/>
  <c r="U16" i="15"/>
  <c r="T16" i="15"/>
  <c r="S16" i="15"/>
  <c r="R16" i="15"/>
  <c r="Q16" i="15"/>
  <c r="P16" i="15"/>
  <c r="O16" i="15"/>
  <c r="N16" i="15"/>
  <c r="M16" i="15"/>
  <c r="L16" i="15"/>
  <c r="K16" i="15"/>
  <c r="I16" i="15"/>
  <c r="H16" i="15"/>
  <c r="F16" i="15"/>
  <c r="E16" i="15"/>
  <c r="D16" i="15"/>
  <c r="C16" i="15"/>
  <c r="B16" i="15"/>
  <c r="A16" i="15"/>
  <c r="AD15" i="15"/>
  <c r="AC15" i="15"/>
  <c r="AB15" i="15"/>
  <c r="V15" i="15"/>
  <c r="U15" i="15"/>
  <c r="T15" i="15"/>
  <c r="S15" i="15"/>
  <c r="R15" i="15"/>
  <c r="Q15" i="15"/>
  <c r="P15" i="15"/>
  <c r="O15" i="15"/>
  <c r="N15" i="15"/>
  <c r="M15" i="15"/>
  <c r="L15" i="15"/>
  <c r="K15" i="15"/>
  <c r="H15" i="15"/>
  <c r="F15" i="15"/>
  <c r="E15" i="15"/>
  <c r="D15" i="15"/>
  <c r="C15" i="15"/>
  <c r="B15" i="15"/>
  <c r="A15" i="15"/>
  <c r="AD14" i="15"/>
  <c r="AC14" i="15"/>
  <c r="AB14" i="15"/>
  <c r="V14" i="15"/>
  <c r="U14" i="15"/>
  <c r="T14" i="15"/>
  <c r="S14" i="15"/>
  <c r="R14" i="15"/>
  <c r="Q14" i="15"/>
  <c r="P14" i="15"/>
  <c r="O14" i="15"/>
  <c r="N14" i="15"/>
  <c r="M14" i="15"/>
  <c r="L14" i="15"/>
  <c r="K14" i="15"/>
  <c r="I14" i="15"/>
  <c r="H14" i="15"/>
  <c r="F14" i="15"/>
  <c r="E14" i="15"/>
  <c r="D14" i="15"/>
  <c r="C14" i="15"/>
  <c r="B14" i="15"/>
  <c r="A14" i="15"/>
  <c r="AD13" i="15"/>
  <c r="AC13" i="15"/>
  <c r="AB13" i="15"/>
  <c r="V13" i="15"/>
  <c r="U13" i="15"/>
  <c r="T13" i="15"/>
  <c r="S13" i="15"/>
  <c r="R13" i="15"/>
  <c r="Q13" i="15"/>
  <c r="P13" i="15"/>
  <c r="O13" i="15"/>
  <c r="N13" i="15"/>
  <c r="M13" i="15"/>
  <c r="L13" i="15"/>
  <c r="K13" i="15"/>
  <c r="I13" i="15"/>
  <c r="H13" i="15"/>
  <c r="F13" i="15"/>
  <c r="E13" i="15"/>
  <c r="D13" i="15"/>
  <c r="C13" i="15"/>
  <c r="B13" i="15"/>
  <c r="A13" i="15"/>
  <c r="AD12" i="15"/>
  <c r="AC12" i="15"/>
  <c r="AB12" i="15"/>
  <c r="V12" i="15"/>
  <c r="U12" i="15"/>
  <c r="T12" i="15"/>
  <c r="S12" i="15"/>
  <c r="R12" i="15"/>
  <c r="Q12" i="15"/>
  <c r="P12" i="15"/>
  <c r="O12" i="15"/>
  <c r="N12" i="15"/>
  <c r="M12" i="15"/>
  <c r="L12" i="15"/>
  <c r="K12" i="15"/>
  <c r="I12" i="15"/>
  <c r="H12" i="15"/>
  <c r="F12" i="15"/>
  <c r="E12" i="15"/>
  <c r="D12" i="15"/>
  <c r="C12" i="15"/>
  <c r="B12" i="15"/>
  <c r="A12" i="15"/>
  <c r="AD11" i="15"/>
  <c r="AC11" i="15"/>
  <c r="AB11" i="15"/>
  <c r="V11" i="15"/>
  <c r="U11" i="15"/>
  <c r="T11" i="15"/>
  <c r="S11" i="15"/>
  <c r="R11" i="15"/>
  <c r="Q11" i="15"/>
  <c r="P11" i="15"/>
  <c r="O11" i="15"/>
  <c r="N11" i="15"/>
  <c r="M11" i="15"/>
  <c r="L11" i="15"/>
  <c r="K11" i="15"/>
  <c r="K26" i="15" s="1"/>
  <c r="I11" i="15"/>
  <c r="H11" i="15"/>
  <c r="F11" i="15"/>
  <c r="E11" i="15"/>
  <c r="D11" i="15"/>
  <c r="C11" i="15"/>
  <c r="B11" i="15"/>
  <c r="A11" i="15"/>
  <c r="AD10" i="15"/>
  <c r="AC10" i="15"/>
  <c r="AB10" i="15"/>
  <c r="V10" i="15"/>
  <c r="U10" i="15"/>
  <c r="T10" i="15"/>
  <c r="S10" i="15"/>
  <c r="R10" i="15"/>
  <c r="Q10" i="15"/>
  <c r="P10" i="15"/>
  <c r="O10" i="15"/>
  <c r="N10" i="15"/>
  <c r="M10" i="15"/>
  <c r="L10" i="15"/>
  <c r="K10" i="15"/>
  <c r="I10" i="15"/>
  <c r="H10" i="15"/>
  <c r="F10" i="15"/>
  <c r="E10" i="15"/>
  <c r="D10" i="15"/>
  <c r="C10" i="15"/>
  <c r="B10" i="15"/>
  <c r="A10" i="15"/>
  <c r="AD9" i="15"/>
  <c r="AC9" i="15"/>
  <c r="AB9" i="15"/>
  <c r="V9" i="15"/>
  <c r="U9" i="15"/>
  <c r="T9" i="15"/>
  <c r="S9" i="15"/>
  <c r="R9" i="15"/>
  <c r="Q9" i="15"/>
  <c r="P9" i="15"/>
  <c r="O9" i="15"/>
  <c r="N9" i="15"/>
  <c r="M9" i="15"/>
  <c r="L9" i="15"/>
  <c r="K9" i="15"/>
  <c r="I9" i="15"/>
  <c r="H9" i="15"/>
  <c r="F9" i="15"/>
  <c r="E9" i="15"/>
  <c r="D9" i="15"/>
  <c r="C9" i="15"/>
  <c r="B9" i="15"/>
  <c r="A9" i="15"/>
  <c r="AD8" i="15"/>
  <c r="AC8" i="15"/>
  <c r="AB8" i="15"/>
  <c r="V8" i="15"/>
  <c r="U8" i="15"/>
  <c r="T8" i="15"/>
  <c r="S8" i="15"/>
  <c r="R8" i="15"/>
  <c r="Q8" i="15"/>
  <c r="P8" i="15"/>
  <c r="O8" i="15"/>
  <c r="N8" i="15"/>
  <c r="M8" i="15"/>
  <c r="L8" i="15"/>
  <c r="K8" i="15"/>
  <c r="K23" i="15" s="1"/>
  <c r="I8" i="15"/>
  <c r="H8" i="15"/>
  <c r="F8" i="15"/>
  <c r="E8" i="15"/>
  <c r="D8" i="15"/>
  <c r="C8" i="15"/>
  <c r="B8" i="15"/>
  <c r="A8" i="15"/>
  <c r="AD7" i="15"/>
  <c r="AC7" i="15"/>
  <c r="AB7" i="15"/>
  <c r="V7" i="15"/>
  <c r="U7" i="15"/>
  <c r="T7" i="15"/>
  <c r="S7" i="15"/>
  <c r="R7" i="15"/>
  <c r="Q7" i="15"/>
  <c r="P7" i="15"/>
  <c r="O7" i="15"/>
  <c r="N7" i="15"/>
  <c r="M7" i="15"/>
  <c r="L7" i="15"/>
  <c r="K7" i="15"/>
  <c r="I7" i="15"/>
  <c r="H7" i="15"/>
  <c r="F7" i="15"/>
  <c r="E7" i="15"/>
  <c r="D7" i="15"/>
  <c r="C7" i="15"/>
  <c r="B7" i="15"/>
  <c r="A7" i="15"/>
  <c r="AD6" i="15"/>
  <c r="AC6" i="15"/>
  <c r="AB6" i="15"/>
  <c r="V6" i="15"/>
  <c r="U6" i="15"/>
  <c r="T6" i="15"/>
  <c r="S6" i="15"/>
  <c r="R6" i="15"/>
  <c r="Q6" i="15"/>
  <c r="P6" i="15"/>
  <c r="O6" i="15"/>
  <c r="N6" i="15"/>
  <c r="M6" i="15"/>
  <c r="L6" i="15"/>
  <c r="K6" i="15"/>
  <c r="I6" i="15"/>
  <c r="H6" i="15"/>
  <c r="F6" i="15"/>
  <c r="E6" i="15"/>
  <c r="D6" i="15"/>
  <c r="C6" i="15"/>
  <c r="B6" i="15"/>
  <c r="A6" i="15"/>
  <c r="AD5" i="15"/>
  <c r="AC5" i="15"/>
  <c r="AB5" i="15"/>
  <c r="V5" i="15"/>
  <c r="U5" i="15"/>
  <c r="T5" i="15"/>
  <c r="S5" i="15"/>
  <c r="R5" i="15"/>
  <c r="Q5" i="15"/>
  <c r="P5" i="15"/>
  <c r="O5" i="15"/>
  <c r="N5" i="15"/>
  <c r="M5" i="15"/>
  <c r="L5" i="15"/>
  <c r="K5" i="15"/>
  <c r="I5" i="15"/>
  <c r="H5" i="15"/>
  <c r="F5" i="15"/>
  <c r="E5" i="15"/>
  <c r="D5" i="15"/>
  <c r="C5" i="15"/>
  <c r="B5" i="15"/>
  <c r="A5" i="15"/>
  <c r="AD4" i="15"/>
  <c r="AC4" i="15"/>
  <c r="AB4" i="15"/>
  <c r="V4" i="15"/>
  <c r="U4" i="15"/>
  <c r="T4" i="15"/>
  <c r="S4" i="15"/>
  <c r="R4" i="15"/>
  <c r="Q4" i="15"/>
  <c r="P4" i="15"/>
  <c r="O4" i="15"/>
  <c r="N4" i="15"/>
  <c r="M4" i="15"/>
  <c r="L4" i="15"/>
  <c r="K4" i="15"/>
  <c r="I4" i="15"/>
  <c r="H4" i="15"/>
  <c r="F4" i="15"/>
  <c r="E4" i="15"/>
  <c r="D4" i="15"/>
  <c r="C4" i="15"/>
  <c r="B4" i="15"/>
  <c r="A4" i="15"/>
  <c r="AD3" i="15"/>
  <c r="AC3" i="15"/>
  <c r="AB3" i="15"/>
  <c r="V3" i="15"/>
  <c r="U3" i="15"/>
  <c r="T3" i="15"/>
  <c r="S3" i="15"/>
  <c r="R3" i="15"/>
  <c r="Q3" i="15"/>
  <c r="P3" i="15"/>
  <c r="O3" i="15"/>
  <c r="N3" i="15"/>
  <c r="M3" i="15"/>
  <c r="L3" i="15"/>
  <c r="K3" i="15"/>
  <c r="I3" i="15"/>
  <c r="H3" i="15"/>
  <c r="F3" i="15"/>
  <c r="E3" i="15"/>
  <c r="D3" i="15"/>
  <c r="C3" i="15"/>
  <c r="B3" i="15"/>
  <c r="A3" i="15"/>
  <c r="AD2" i="15"/>
  <c r="AC2" i="15"/>
  <c r="AB2" i="15"/>
  <c r="V2" i="15"/>
  <c r="U2" i="15"/>
  <c r="T2" i="15"/>
  <c r="T21" i="15" s="1"/>
  <c r="S2" i="15"/>
  <c r="R2" i="15"/>
  <c r="Q2" i="15"/>
  <c r="P2" i="15"/>
  <c r="O2" i="15"/>
  <c r="N2" i="15"/>
  <c r="N21" i="15" s="1"/>
  <c r="M2" i="15"/>
  <c r="L2" i="15"/>
  <c r="K2" i="15"/>
  <c r="I2" i="15"/>
  <c r="H2" i="15"/>
  <c r="F2" i="15"/>
  <c r="E2" i="15"/>
  <c r="D2" i="15"/>
  <c r="C2" i="15"/>
  <c r="B2" i="15"/>
  <c r="A2" i="15"/>
  <c r="J30" i="14"/>
  <c r="J29" i="14"/>
  <c r="J28" i="14"/>
  <c r="J27" i="14"/>
  <c r="J26" i="14"/>
  <c r="K25" i="14"/>
  <c r="J25" i="14"/>
  <c r="AD23" i="14"/>
  <c r="AC23" i="14"/>
  <c r="AB23" i="14"/>
  <c r="W23" i="14"/>
  <c r="V23" i="14"/>
  <c r="U23" i="14"/>
  <c r="T23" i="14"/>
  <c r="S23" i="14"/>
  <c r="R23" i="14"/>
  <c r="Q23" i="14"/>
  <c r="P23" i="14"/>
  <c r="O23" i="14"/>
  <c r="N23" i="14"/>
  <c r="M23" i="14"/>
  <c r="L23" i="14"/>
  <c r="K23" i="14"/>
  <c r="I23" i="14"/>
  <c r="H23" i="14"/>
  <c r="F23" i="14"/>
  <c r="E23" i="14"/>
  <c r="D23" i="14"/>
  <c r="C23" i="14"/>
  <c r="B23" i="14"/>
  <c r="A23" i="14"/>
  <c r="AD22" i="14"/>
  <c r="AC22" i="14"/>
  <c r="AB22" i="14"/>
  <c r="Y22" i="14"/>
  <c r="V22" i="14"/>
  <c r="U22" i="14"/>
  <c r="T22" i="14"/>
  <c r="S22" i="14"/>
  <c r="R22" i="14"/>
  <c r="Q22" i="14"/>
  <c r="P22" i="14"/>
  <c r="O22" i="14"/>
  <c r="N22" i="14"/>
  <c r="M22" i="14"/>
  <c r="L22" i="14"/>
  <c r="K22" i="14"/>
  <c r="I22" i="14"/>
  <c r="H22" i="14"/>
  <c r="F22" i="14"/>
  <c r="E22" i="14"/>
  <c r="D22" i="14"/>
  <c r="C22" i="14"/>
  <c r="B22" i="14"/>
  <c r="A22" i="14"/>
  <c r="AD21" i="14"/>
  <c r="AC21" i="14"/>
  <c r="AB21" i="14"/>
  <c r="Y21" i="14"/>
  <c r="V21" i="14"/>
  <c r="U21" i="14"/>
  <c r="T21" i="14"/>
  <c r="S21" i="14"/>
  <c r="R21" i="14"/>
  <c r="Q21" i="14"/>
  <c r="P21" i="14"/>
  <c r="O21" i="14"/>
  <c r="N21" i="14"/>
  <c r="M21" i="14"/>
  <c r="L21" i="14"/>
  <c r="K21" i="14"/>
  <c r="I21" i="14"/>
  <c r="H21" i="14"/>
  <c r="F21" i="14"/>
  <c r="E21" i="14"/>
  <c r="D21" i="14"/>
  <c r="C21" i="14"/>
  <c r="B21" i="14"/>
  <c r="A21" i="14"/>
  <c r="AD20" i="14"/>
  <c r="AC20" i="14"/>
  <c r="AB20" i="14"/>
  <c r="V20" i="14"/>
  <c r="U20" i="14"/>
  <c r="T20" i="14"/>
  <c r="S20" i="14"/>
  <c r="R20" i="14"/>
  <c r="Q20" i="14"/>
  <c r="P20" i="14"/>
  <c r="O20" i="14"/>
  <c r="N20" i="14"/>
  <c r="M20" i="14"/>
  <c r="L20" i="14"/>
  <c r="K20" i="14"/>
  <c r="I20" i="14"/>
  <c r="H20" i="14"/>
  <c r="F20" i="14"/>
  <c r="E20" i="14"/>
  <c r="D20" i="14"/>
  <c r="C20" i="14"/>
  <c r="B20" i="14"/>
  <c r="A20" i="14"/>
  <c r="AD19" i="14"/>
  <c r="AC19" i="14"/>
  <c r="AB19" i="14"/>
  <c r="AA19" i="14"/>
  <c r="V19" i="14"/>
  <c r="U19" i="14"/>
  <c r="T19" i="14"/>
  <c r="S19" i="14"/>
  <c r="R19" i="14"/>
  <c r="Q19" i="14"/>
  <c r="P19" i="14"/>
  <c r="O19" i="14"/>
  <c r="N19" i="14"/>
  <c r="M19" i="14"/>
  <c r="L19" i="14"/>
  <c r="K19" i="14"/>
  <c r="I19" i="14"/>
  <c r="H19" i="14"/>
  <c r="F19" i="14"/>
  <c r="E19" i="14"/>
  <c r="D19" i="14"/>
  <c r="C19" i="14"/>
  <c r="B19" i="14"/>
  <c r="A19" i="14"/>
  <c r="AD18" i="14"/>
  <c r="AC18" i="14"/>
  <c r="AB18" i="14"/>
  <c r="V18" i="14"/>
  <c r="U18" i="14"/>
  <c r="T18" i="14"/>
  <c r="S18" i="14"/>
  <c r="R18" i="14"/>
  <c r="Q18" i="14"/>
  <c r="P18" i="14"/>
  <c r="O18" i="14"/>
  <c r="N18" i="14"/>
  <c r="M18" i="14"/>
  <c r="L18" i="14"/>
  <c r="K18" i="14"/>
  <c r="I18" i="14"/>
  <c r="H18" i="14"/>
  <c r="F18" i="14"/>
  <c r="E18" i="14"/>
  <c r="D18" i="14"/>
  <c r="C18" i="14"/>
  <c r="B18" i="14"/>
  <c r="A18" i="14"/>
  <c r="AD17" i="14"/>
  <c r="AC17" i="14"/>
  <c r="AB17" i="14"/>
  <c r="V17" i="14"/>
  <c r="U17" i="14"/>
  <c r="T17" i="14"/>
  <c r="S17" i="14"/>
  <c r="R17" i="14"/>
  <c r="Q17" i="14"/>
  <c r="P17" i="14"/>
  <c r="O17" i="14"/>
  <c r="N17" i="14"/>
  <c r="M17" i="14"/>
  <c r="L17" i="14"/>
  <c r="K17" i="14"/>
  <c r="I17" i="14"/>
  <c r="H17" i="14"/>
  <c r="F17" i="14"/>
  <c r="E17" i="14"/>
  <c r="D17" i="14"/>
  <c r="C17" i="14"/>
  <c r="B17" i="14"/>
  <c r="A17" i="14"/>
  <c r="AD16" i="14"/>
  <c r="AC16" i="14"/>
  <c r="AB16" i="14"/>
  <c r="V16" i="14"/>
  <c r="U16" i="14"/>
  <c r="T16" i="14"/>
  <c r="S16" i="14"/>
  <c r="R16" i="14"/>
  <c r="Q16" i="14"/>
  <c r="P16" i="14"/>
  <c r="O16" i="14"/>
  <c r="N16" i="14"/>
  <c r="M16" i="14"/>
  <c r="L16" i="14"/>
  <c r="K16" i="14"/>
  <c r="I16" i="14"/>
  <c r="H16" i="14"/>
  <c r="F16" i="14"/>
  <c r="E16" i="14"/>
  <c r="D16" i="14"/>
  <c r="C16" i="14"/>
  <c r="B16" i="14"/>
  <c r="A16" i="14"/>
  <c r="AD15" i="14"/>
  <c r="AC15" i="14"/>
  <c r="AB15" i="14"/>
  <c r="V15" i="14"/>
  <c r="U15" i="14"/>
  <c r="T15" i="14"/>
  <c r="S15" i="14"/>
  <c r="R15" i="14"/>
  <c r="Q15" i="14"/>
  <c r="P15" i="14"/>
  <c r="O15" i="14"/>
  <c r="N15" i="14"/>
  <c r="M15" i="14"/>
  <c r="L15" i="14"/>
  <c r="K15" i="14"/>
  <c r="I15" i="14"/>
  <c r="H15" i="14"/>
  <c r="F15" i="14"/>
  <c r="E15" i="14"/>
  <c r="D15" i="14"/>
  <c r="C15" i="14"/>
  <c r="B15" i="14"/>
  <c r="A15" i="14"/>
  <c r="AD14" i="14"/>
  <c r="AC14" i="14"/>
  <c r="AB14" i="14"/>
  <c r="V14" i="14"/>
  <c r="U14" i="14"/>
  <c r="T14" i="14"/>
  <c r="S14" i="14"/>
  <c r="R14" i="14"/>
  <c r="Q14" i="14"/>
  <c r="P14" i="14"/>
  <c r="O14" i="14"/>
  <c r="N14" i="14"/>
  <c r="M14" i="14"/>
  <c r="L14" i="14"/>
  <c r="K14" i="14"/>
  <c r="I14" i="14"/>
  <c r="H14" i="14"/>
  <c r="F14" i="14"/>
  <c r="E14" i="14"/>
  <c r="D14" i="14"/>
  <c r="C14" i="14"/>
  <c r="B14" i="14"/>
  <c r="A14" i="14"/>
  <c r="AD13" i="14"/>
  <c r="AC13" i="14"/>
  <c r="AB13" i="14"/>
  <c r="V13" i="14"/>
  <c r="U13" i="14"/>
  <c r="T13" i="14"/>
  <c r="S13" i="14"/>
  <c r="R13" i="14"/>
  <c r="Q13" i="14"/>
  <c r="P13" i="14"/>
  <c r="O13" i="14"/>
  <c r="N13" i="14"/>
  <c r="M13" i="14"/>
  <c r="L13" i="14"/>
  <c r="K13" i="14"/>
  <c r="I13" i="14"/>
  <c r="H13" i="14"/>
  <c r="F13" i="14"/>
  <c r="E13" i="14"/>
  <c r="D13" i="14"/>
  <c r="C13" i="14"/>
  <c r="B13" i="14"/>
  <c r="A13" i="14"/>
  <c r="AD12" i="14"/>
  <c r="AC12" i="14"/>
  <c r="AB12" i="14"/>
  <c r="V12" i="14"/>
  <c r="U12" i="14"/>
  <c r="T12" i="14"/>
  <c r="S12" i="14"/>
  <c r="R12" i="14"/>
  <c r="Q12" i="14"/>
  <c r="P12" i="14"/>
  <c r="O12" i="14"/>
  <c r="N12" i="14"/>
  <c r="M12" i="14"/>
  <c r="L12" i="14"/>
  <c r="K12" i="14"/>
  <c r="I12" i="14"/>
  <c r="H12" i="14"/>
  <c r="F12" i="14"/>
  <c r="E12" i="14"/>
  <c r="D12" i="14"/>
  <c r="C12" i="14"/>
  <c r="B12" i="14"/>
  <c r="A12" i="14"/>
  <c r="AD11" i="14"/>
  <c r="AC11" i="14"/>
  <c r="AB11" i="14"/>
  <c r="V11" i="14"/>
  <c r="U11" i="14"/>
  <c r="T11" i="14"/>
  <c r="S11" i="14"/>
  <c r="R11" i="14"/>
  <c r="Q11" i="14"/>
  <c r="P11" i="14"/>
  <c r="O11" i="14"/>
  <c r="N11" i="14"/>
  <c r="M11" i="14"/>
  <c r="L11" i="14"/>
  <c r="K11" i="14"/>
  <c r="I11" i="14"/>
  <c r="H11" i="14"/>
  <c r="F11" i="14"/>
  <c r="E11" i="14"/>
  <c r="D11" i="14"/>
  <c r="C11" i="14"/>
  <c r="B11" i="14"/>
  <c r="A11" i="14"/>
  <c r="AD10" i="14"/>
  <c r="AC10" i="14"/>
  <c r="AB10" i="14"/>
  <c r="V10" i="14"/>
  <c r="U10" i="14"/>
  <c r="T10" i="14"/>
  <c r="S10" i="14"/>
  <c r="R10" i="14"/>
  <c r="Q10" i="14"/>
  <c r="P10" i="14"/>
  <c r="O10" i="14"/>
  <c r="N10" i="14"/>
  <c r="M10" i="14"/>
  <c r="K10" i="14"/>
  <c r="H10" i="14"/>
  <c r="F10" i="14"/>
  <c r="E10" i="14"/>
  <c r="D10" i="14"/>
  <c r="C10" i="14"/>
  <c r="B10" i="14"/>
  <c r="A10" i="14"/>
  <c r="AD9" i="14"/>
  <c r="AC9" i="14"/>
  <c r="AB9" i="14"/>
  <c r="V9" i="14"/>
  <c r="U9" i="14"/>
  <c r="T9" i="14"/>
  <c r="S9" i="14"/>
  <c r="R9" i="14"/>
  <c r="Q9" i="14"/>
  <c r="P9" i="14"/>
  <c r="O9" i="14"/>
  <c r="N9" i="14"/>
  <c r="M9" i="14"/>
  <c r="L9" i="14"/>
  <c r="K9" i="14"/>
  <c r="K26" i="14" s="1"/>
  <c r="I9" i="14"/>
  <c r="H9" i="14"/>
  <c r="F9" i="14"/>
  <c r="E9" i="14"/>
  <c r="D9" i="14"/>
  <c r="C9" i="14"/>
  <c r="B9" i="14"/>
  <c r="A9" i="14"/>
  <c r="AD8" i="14"/>
  <c r="AC8" i="14"/>
  <c r="AB8" i="14"/>
  <c r="V8" i="14"/>
  <c r="U8" i="14"/>
  <c r="T8" i="14"/>
  <c r="S8" i="14"/>
  <c r="R8" i="14"/>
  <c r="Q8" i="14"/>
  <c r="P8" i="14"/>
  <c r="O8" i="14"/>
  <c r="N8" i="14"/>
  <c r="M8" i="14"/>
  <c r="L8" i="14"/>
  <c r="K8" i="14"/>
  <c r="K29" i="14" s="1"/>
  <c r="I8" i="14"/>
  <c r="H8" i="14"/>
  <c r="F8" i="14"/>
  <c r="E8" i="14"/>
  <c r="D8" i="14"/>
  <c r="C8" i="14"/>
  <c r="B8" i="14"/>
  <c r="A8" i="14"/>
  <c r="AD7" i="14"/>
  <c r="AC7" i="14"/>
  <c r="AB7" i="14"/>
  <c r="V7" i="14"/>
  <c r="U7" i="14"/>
  <c r="T7" i="14"/>
  <c r="S7" i="14"/>
  <c r="R7" i="14"/>
  <c r="Q7" i="14"/>
  <c r="P7" i="14"/>
  <c r="O7" i="14"/>
  <c r="N7" i="14"/>
  <c r="M7" i="14"/>
  <c r="L7" i="14"/>
  <c r="K7" i="14"/>
  <c r="I7" i="14"/>
  <c r="H7" i="14"/>
  <c r="F7" i="14"/>
  <c r="E7" i="14"/>
  <c r="D7" i="14"/>
  <c r="C7" i="14"/>
  <c r="B7" i="14"/>
  <c r="A7" i="14"/>
  <c r="AD6" i="14"/>
  <c r="AC6" i="14"/>
  <c r="AB6" i="14"/>
  <c r="V6" i="14"/>
  <c r="U6" i="14"/>
  <c r="T6" i="14"/>
  <c r="S6" i="14"/>
  <c r="R6" i="14"/>
  <c r="P6" i="14"/>
  <c r="N6" i="14"/>
  <c r="M6" i="14"/>
  <c r="L6" i="14"/>
  <c r="K6" i="14"/>
  <c r="K28" i="14" s="1"/>
  <c r="I6" i="14"/>
  <c r="H6" i="14"/>
  <c r="F6" i="14"/>
  <c r="E6" i="14"/>
  <c r="D6" i="14"/>
  <c r="C6" i="14"/>
  <c r="B6" i="14"/>
  <c r="A6" i="14"/>
  <c r="AD5" i="14"/>
  <c r="AC5" i="14"/>
  <c r="AB5" i="14"/>
  <c r="V5" i="14"/>
  <c r="U5" i="14"/>
  <c r="T5" i="14"/>
  <c r="S5" i="14"/>
  <c r="R5" i="14"/>
  <c r="Q5" i="14"/>
  <c r="P5" i="14"/>
  <c r="O5" i="14"/>
  <c r="N5" i="14"/>
  <c r="M5" i="14"/>
  <c r="L5" i="14"/>
  <c r="K5" i="14"/>
  <c r="I5" i="14"/>
  <c r="H5" i="14"/>
  <c r="F5" i="14"/>
  <c r="E5" i="14"/>
  <c r="D5" i="14"/>
  <c r="C5" i="14"/>
  <c r="B5" i="14"/>
  <c r="A5" i="14"/>
  <c r="AD4" i="14"/>
  <c r="AC4" i="14"/>
  <c r="AB4" i="14"/>
  <c r="V4" i="14"/>
  <c r="U4" i="14"/>
  <c r="T4" i="14"/>
  <c r="S4" i="14"/>
  <c r="R4" i="14"/>
  <c r="Q4" i="14"/>
  <c r="P4" i="14"/>
  <c r="O4" i="14"/>
  <c r="N4" i="14"/>
  <c r="M4" i="14"/>
  <c r="L4" i="14"/>
  <c r="K4" i="14"/>
  <c r="I4" i="14"/>
  <c r="H4" i="14"/>
  <c r="F4" i="14"/>
  <c r="E4" i="14"/>
  <c r="D4" i="14"/>
  <c r="C4" i="14"/>
  <c r="B4" i="14"/>
  <c r="A4" i="14"/>
  <c r="AD3" i="14"/>
  <c r="AC3" i="14"/>
  <c r="AB3" i="14"/>
  <c r="V3" i="14"/>
  <c r="U3" i="14"/>
  <c r="T3" i="14"/>
  <c r="S3" i="14"/>
  <c r="R3" i="14"/>
  <c r="Q3" i="14"/>
  <c r="P3" i="14"/>
  <c r="O3" i="14"/>
  <c r="N3" i="14"/>
  <c r="M3" i="14"/>
  <c r="L3" i="14"/>
  <c r="K3" i="14"/>
  <c r="I3" i="14"/>
  <c r="H3" i="14"/>
  <c r="F3" i="14"/>
  <c r="E3" i="14"/>
  <c r="D3" i="14"/>
  <c r="C3" i="14"/>
  <c r="B3" i="14"/>
  <c r="A3" i="14"/>
  <c r="AD2" i="14"/>
  <c r="AC2" i="14"/>
  <c r="AB2" i="14"/>
  <c r="V2" i="14"/>
  <c r="U2" i="14"/>
  <c r="T2" i="14"/>
  <c r="S2" i="14"/>
  <c r="S24" i="14" s="1"/>
  <c r="H7" i="9" s="1"/>
  <c r="R2" i="14"/>
  <c r="R24" i="14" s="1"/>
  <c r="G7" i="9" s="1"/>
  <c r="Q2" i="14"/>
  <c r="P2" i="14"/>
  <c r="O2" i="14"/>
  <c r="N2" i="14"/>
  <c r="N24" i="14" s="1"/>
  <c r="M2" i="14"/>
  <c r="L2" i="14"/>
  <c r="K2" i="14"/>
  <c r="K27" i="14" s="1"/>
  <c r="J18" i="6" s="1"/>
  <c r="I2" i="14"/>
  <c r="H2" i="14"/>
  <c r="F2" i="14"/>
  <c r="E2" i="14"/>
  <c r="D2" i="14"/>
  <c r="C2" i="14"/>
  <c r="B2" i="14"/>
  <c r="A2" i="14"/>
  <c r="I38" i="13"/>
  <c r="I37" i="13"/>
  <c r="I36" i="13"/>
  <c r="AD34" i="13"/>
  <c r="AC34" i="13"/>
  <c r="AB34" i="13"/>
  <c r="V34" i="13"/>
  <c r="U34" i="13"/>
  <c r="T34" i="13"/>
  <c r="S34" i="13"/>
  <c r="R34" i="13"/>
  <c r="Q34" i="13"/>
  <c r="P34" i="13"/>
  <c r="O34" i="13"/>
  <c r="N34" i="13"/>
  <c r="M34" i="13"/>
  <c r="L34" i="13"/>
  <c r="K34" i="13"/>
  <c r="I34" i="13"/>
  <c r="H34" i="13"/>
  <c r="F34" i="13"/>
  <c r="E34" i="13"/>
  <c r="D34" i="13"/>
  <c r="C34" i="13"/>
  <c r="B34" i="13"/>
  <c r="A34" i="13"/>
  <c r="AD33" i="13"/>
  <c r="AC33" i="13"/>
  <c r="AB33" i="13"/>
  <c r="V33" i="13"/>
  <c r="U33" i="13"/>
  <c r="T33" i="13"/>
  <c r="S33" i="13"/>
  <c r="R33" i="13"/>
  <c r="Q33" i="13"/>
  <c r="P33" i="13"/>
  <c r="O33" i="13"/>
  <c r="N33" i="13"/>
  <c r="M33" i="13"/>
  <c r="L33" i="13"/>
  <c r="K33" i="13"/>
  <c r="I33" i="13"/>
  <c r="H33" i="13"/>
  <c r="F33" i="13"/>
  <c r="E33" i="13"/>
  <c r="D33" i="13"/>
  <c r="C33" i="13"/>
  <c r="B33" i="13"/>
  <c r="A33" i="13"/>
  <c r="AD32" i="13"/>
  <c r="AC32" i="13"/>
  <c r="AB32" i="13"/>
  <c r="V32" i="13"/>
  <c r="U32" i="13"/>
  <c r="T32" i="13"/>
  <c r="S32" i="13"/>
  <c r="R32" i="13"/>
  <c r="Q32" i="13"/>
  <c r="P32" i="13"/>
  <c r="O32" i="13"/>
  <c r="N32" i="13"/>
  <c r="M32" i="13"/>
  <c r="L32" i="13"/>
  <c r="K32" i="13"/>
  <c r="I32" i="13"/>
  <c r="H32" i="13"/>
  <c r="F32" i="13"/>
  <c r="E32" i="13"/>
  <c r="D32" i="13"/>
  <c r="C32" i="13"/>
  <c r="B32" i="13"/>
  <c r="A32" i="13"/>
  <c r="AD31" i="13"/>
  <c r="AC31" i="13"/>
  <c r="AB31" i="13"/>
  <c r="V31" i="13"/>
  <c r="U31" i="13"/>
  <c r="T31" i="13"/>
  <c r="S31" i="13"/>
  <c r="R31" i="13"/>
  <c r="Q31" i="13"/>
  <c r="P31" i="13"/>
  <c r="O31" i="13"/>
  <c r="N31" i="13"/>
  <c r="M31" i="13"/>
  <c r="L31" i="13"/>
  <c r="K31" i="13"/>
  <c r="I31" i="13"/>
  <c r="H31" i="13"/>
  <c r="F31" i="13"/>
  <c r="E31" i="13"/>
  <c r="D31" i="13"/>
  <c r="C31" i="13"/>
  <c r="B31" i="13"/>
  <c r="A31" i="13"/>
  <c r="AD30" i="13"/>
  <c r="AC30" i="13"/>
  <c r="AB30" i="13"/>
  <c r="V30" i="13"/>
  <c r="U30" i="13"/>
  <c r="T30" i="13"/>
  <c r="S30" i="13"/>
  <c r="R30" i="13"/>
  <c r="Q30" i="13"/>
  <c r="P30" i="13"/>
  <c r="O30" i="13"/>
  <c r="N30" i="13"/>
  <c r="M30" i="13"/>
  <c r="L30" i="13"/>
  <c r="K30" i="13"/>
  <c r="I30" i="13"/>
  <c r="H30" i="13"/>
  <c r="F30" i="13"/>
  <c r="E30" i="13"/>
  <c r="D30" i="13"/>
  <c r="C30" i="13"/>
  <c r="B30" i="13"/>
  <c r="A30" i="13"/>
  <c r="AD29" i="13"/>
  <c r="AC29" i="13"/>
  <c r="AB29" i="13"/>
  <c r="V29" i="13"/>
  <c r="U29" i="13"/>
  <c r="T29" i="13"/>
  <c r="S29" i="13"/>
  <c r="R29" i="13"/>
  <c r="Q29" i="13"/>
  <c r="P29" i="13"/>
  <c r="O29" i="13"/>
  <c r="N29" i="13"/>
  <c r="M29" i="13"/>
  <c r="L29" i="13"/>
  <c r="K29" i="13"/>
  <c r="I29" i="13"/>
  <c r="H29" i="13"/>
  <c r="F29" i="13"/>
  <c r="E29" i="13"/>
  <c r="D29" i="13"/>
  <c r="C29" i="13"/>
  <c r="B29" i="13"/>
  <c r="A29" i="13"/>
  <c r="AD28" i="13"/>
  <c r="AC28" i="13"/>
  <c r="AB28" i="13"/>
  <c r="V28" i="13"/>
  <c r="U28" i="13"/>
  <c r="T28" i="13"/>
  <c r="S28" i="13"/>
  <c r="R28" i="13"/>
  <c r="Q28" i="13"/>
  <c r="P28" i="13"/>
  <c r="O28" i="13"/>
  <c r="N28" i="13"/>
  <c r="M28" i="13"/>
  <c r="L28" i="13"/>
  <c r="K28" i="13"/>
  <c r="I28" i="13"/>
  <c r="H28" i="13"/>
  <c r="F28" i="13"/>
  <c r="E28" i="13"/>
  <c r="D28" i="13"/>
  <c r="C28" i="13"/>
  <c r="B28" i="13"/>
  <c r="A28" i="13"/>
  <c r="AD27" i="13"/>
  <c r="AC27" i="13"/>
  <c r="AB27" i="13"/>
  <c r="V27" i="13"/>
  <c r="U27" i="13"/>
  <c r="T27" i="13"/>
  <c r="S27" i="13"/>
  <c r="R27" i="13"/>
  <c r="Q27" i="13"/>
  <c r="P27" i="13"/>
  <c r="O27" i="13"/>
  <c r="N27" i="13"/>
  <c r="M27" i="13"/>
  <c r="L27" i="13"/>
  <c r="K27" i="13"/>
  <c r="I27" i="13"/>
  <c r="H27" i="13"/>
  <c r="F27" i="13"/>
  <c r="E27" i="13"/>
  <c r="D27" i="13"/>
  <c r="C27" i="13"/>
  <c r="B27" i="13"/>
  <c r="A27" i="13"/>
  <c r="AD26" i="13"/>
  <c r="AC26" i="13"/>
  <c r="AB26" i="13"/>
  <c r="V26" i="13"/>
  <c r="U26" i="13"/>
  <c r="T26" i="13"/>
  <c r="S26" i="13"/>
  <c r="R26" i="13"/>
  <c r="Q26" i="13"/>
  <c r="P26" i="13"/>
  <c r="O26" i="13"/>
  <c r="N26" i="13"/>
  <c r="M26" i="13"/>
  <c r="L26" i="13"/>
  <c r="K26" i="13"/>
  <c r="I26" i="13"/>
  <c r="H26" i="13"/>
  <c r="F26" i="13"/>
  <c r="E26" i="13"/>
  <c r="D26" i="13"/>
  <c r="C26" i="13"/>
  <c r="B26" i="13"/>
  <c r="A26" i="13"/>
  <c r="AD25" i="13"/>
  <c r="AC25" i="13"/>
  <c r="AB25" i="13"/>
  <c r="V25" i="13"/>
  <c r="U25" i="13"/>
  <c r="T25" i="13"/>
  <c r="S25" i="13"/>
  <c r="R25" i="13"/>
  <c r="Q25" i="13"/>
  <c r="P25" i="13"/>
  <c r="O25" i="13"/>
  <c r="N25" i="13"/>
  <c r="M25" i="13"/>
  <c r="L25" i="13"/>
  <c r="K25" i="13"/>
  <c r="I25" i="13"/>
  <c r="H25" i="13"/>
  <c r="F25" i="13"/>
  <c r="E25" i="13"/>
  <c r="D25" i="13"/>
  <c r="C25" i="13"/>
  <c r="B25" i="13"/>
  <c r="A25" i="13"/>
  <c r="AD24" i="13"/>
  <c r="AC24" i="13"/>
  <c r="AB24" i="13"/>
  <c r="W24" i="13"/>
  <c r="V24" i="13"/>
  <c r="U24" i="13"/>
  <c r="T24" i="13"/>
  <c r="S24" i="13"/>
  <c r="R24" i="13"/>
  <c r="Q24" i="13"/>
  <c r="P24" i="13"/>
  <c r="O24" i="13"/>
  <c r="N24" i="13"/>
  <c r="M24" i="13"/>
  <c r="L24" i="13"/>
  <c r="K24" i="13"/>
  <c r="I24" i="13"/>
  <c r="H24" i="13"/>
  <c r="F24" i="13"/>
  <c r="E24" i="13"/>
  <c r="D24" i="13"/>
  <c r="C24" i="13"/>
  <c r="B24" i="13"/>
  <c r="A24" i="13"/>
  <c r="AD23" i="13"/>
  <c r="AC23" i="13"/>
  <c r="AB23" i="13"/>
  <c r="V23" i="13"/>
  <c r="U23" i="13"/>
  <c r="T23" i="13"/>
  <c r="S23" i="13"/>
  <c r="R23" i="13"/>
  <c r="Q23" i="13"/>
  <c r="P23" i="13"/>
  <c r="O23" i="13"/>
  <c r="N23" i="13"/>
  <c r="M23" i="13"/>
  <c r="L23" i="13"/>
  <c r="K23" i="13"/>
  <c r="I23" i="13"/>
  <c r="H23" i="13"/>
  <c r="F23" i="13"/>
  <c r="E23" i="13"/>
  <c r="D23" i="13"/>
  <c r="C23" i="13"/>
  <c r="B23" i="13"/>
  <c r="A23" i="13"/>
  <c r="AD22" i="13"/>
  <c r="AC22" i="13"/>
  <c r="AB22" i="13"/>
  <c r="V22" i="13"/>
  <c r="U22" i="13"/>
  <c r="T22" i="13"/>
  <c r="S22" i="13"/>
  <c r="R22" i="13"/>
  <c r="Q22" i="13"/>
  <c r="P22" i="13"/>
  <c r="O22" i="13"/>
  <c r="N22" i="13"/>
  <c r="M22" i="13"/>
  <c r="L22" i="13"/>
  <c r="K22" i="13"/>
  <c r="I22" i="13"/>
  <c r="H22" i="13"/>
  <c r="F22" i="13"/>
  <c r="E22" i="13"/>
  <c r="D22" i="13"/>
  <c r="C22" i="13"/>
  <c r="B22" i="13"/>
  <c r="A22" i="13"/>
  <c r="AD21" i="13"/>
  <c r="AC21" i="13"/>
  <c r="AB21" i="13"/>
  <c r="V21" i="13"/>
  <c r="U21" i="13"/>
  <c r="T21" i="13"/>
  <c r="S21" i="13"/>
  <c r="R21" i="13"/>
  <c r="Q21" i="13"/>
  <c r="P21" i="13"/>
  <c r="O21" i="13"/>
  <c r="N21" i="13"/>
  <c r="M21" i="13"/>
  <c r="L21" i="13"/>
  <c r="K21" i="13"/>
  <c r="I21" i="13"/>
  <c r="H21" i="13"/>
  <c r="F21" i="13"/>
  <c r="E21" i="13"/>
  <c r="D21" i="13"/>
  <c r="C21" i="13"/>
  <c r="B21" i="13"/>
  <c r="A21" i="13"/>
  <c r="AD20" i="13"/>
  <c r="AC20" i="13"/>
  <c r="AB20" i="13"/>
  <c r="Y20" i="13"/>
  <c r="V20" i="13"/>
  <c r="U20" i="13"/>
  <c r="T20" i="13"/>
  <c r="S20" i="13"/>
  <c r="R20" i="13"/>
  <c r="Q20" i="13"/>
  <c r="P20" i="13"/>
  <c r="O20" i="13"/>
  <c r="N20" i="13"/>
  <c r="M20" i="13"/>
  <c r="L20" i="13"/>
  <c r="K20" i="13"/>
  <c r="I20" i="13"/>
  <c r="H20" i="13"/>
  <c r="G20" i="13"/>
  <c r="F20" i="13"/>
  <c r="E20" i="13"/>
  <c r="D20" i="13"/>
  <c r="C20" i="13"/>
  <c r="B20" i="13"/>
  <c r="A20" i="13"/>
  <c r="AD19" i="13"/>
  <c r="AC19" i="13"/>
  <c r="AB19" i="13"/>
  <c r="V19" i="13"/>
  <c r="U19" i="13"/>
  <c r="T19" i="13"/>
  <c r="S19" i="13"/>
  <c r="R19" i="13"/>
  <c r="Q19" i="13"/>
  <c r="P19" i="13"/>
  <c r="O19" i="13"/>
  <c r="N19" i="13"/>
  <c r="M19" i="13"/>
  <c r="L19" i="13"/>
  <c r="K19" i="13"/>
  <c r="I19" i="13"/>
  <c r="H19" i="13"/>
  <c r="F19" i="13"/>
  <c r="E19" i="13"/>
  <c r="D19" i="13"/>
  <c r="C19" i="13"/>
  <c r="B19" i="13"/>
  <c r="A19" i="13"/>
  <c r="AD18" i="13"/>
  <c r="AC18" i="13"/>
  <c r="AB18" i="13"/>
  <c r="AA18" i="13"/>
  <c r="V18" i="13"/>
  <c r="U18" i="13"/>
  <c r="T18" i="13"/>
  <c r="S18" i="13"/>
  <c r="R18" i="13"/>
  <c r="Q18" i="13"/>
  <c r="P18" i="13"/>
  <c r="O18" i="13"/>
  <c r="N18" i="13"/>
  <c r="M18" i="13"/>
  <c r="L18" i="13"/>
  <c r="K18" i="13"/>
  <c r="I18" i="13"/>
  <c r="H18" i="13"/>
  <c r="F18" i="13"/>
  <c r="E18" i="13"/>
  <c r="D18" i="13"/>
  <c r="C18" i="13"/>
  <c r="B18" i="13"/>
  <c r="A18" i="13"/>
  <c r="AD17" i="13"/>
  <c r="AC17" i="13"/>
  <c r="AB17" i="13"/>
  <c r="V17" i="13"/>
  <c r="U17" i="13"/>
  <c r="T17" i="13"/>
  <c r="S17" i="13"/>
  <c r="R17" i="13"/>
  <c r="Q17" i="13"/>
  <c r="P17" i="13"/>
  <c r="O17" i="13"/>
  <c r="N17" i="13"/>
  <c r="M17" i="13"/>
  <c r="L17" i="13"/>
  <c r="K17" i="13"/>
  <c r="I17" i="13"/>
  <c r="H17" i="13"/>
  <c r="F17" i="13"/>
  <c r="E17" i="13"/>
  <c r="D17" i="13"/>
  <c r="C17" i="13"/>
  <c r="B17" i="13"/>
  <c r="A17" i="13"/>
  <c r="AD16" i="13"/>
  <c r="AC16" i="13"/>
  <c r="AB16" i="13"/>
  <c r="V16" i="13"/>
  <c r="U16" i="13"/>
  <c r="T16" i="13"/>
  <c r="S16" i="13"/>
  <c r="R16" i="13"/>
  <c r="Q16" i="13"/>
  <c r="P16" i="13"/>
  <c r="O16" i="13"/>
  <c r="N16" i="13"/>
  <c r="M16" i="13"/>
  <c r="L16" i="13"/>
  <c r="K16" i="13"/>
  <c r="I16" i="13"/>
  <c r="H16" i="13"/>
  <c r="F16" i="13"/>
  <c r="E16" i="13"/>
  <c r="D16" i="13"/>
  <c r="C16" i="13"/>
  <c r="B16" i="13"/>
  <c r="A16" i="13"/>
  <c r="AD15" i="13"/>
  <c r="AC15" i="13"/>
  <c r="AB15" i="13"/>
  <c r="V15" i="13"/>
  <c r="U15" i="13"/>
  <c r="T15" i="13"/>
  <c r="S15" i="13"/>
  <c r="R15" i="13"/>
  <c r="Q15" i="13"/>
  <c r="P15" i="13"/>
  <c r="O15" i="13"/>
  <c r="N15" i="13"/>
  <c r="M15" i="13"/>
  <c r="L15" i="13"/>
  <c r="K15" i="13"/>
  <c r="I15" i="13"/>
  <c r="H15" i="13"/>
  <c r="F15" i="13"/>
  <c r="E15" i="13"/>
  <c r="D15" i="13"/>
  <c r="C15" i="13"/>
  <c r="B15" i="13"/>
  <c r="A15" i="13"/>
  <c r="AD14" i="13"/>
  <c r="AC14" i="13"/>
  <c r="AB14" i="13"/>
  <c r="V14" i="13"/>
  <c r="U14" i="13"/>
  <c r="T14" i="13"/>
  <c r="S14" i="13"/>
  <c r="R14" i="13"/>
  <c r="Q14" i="13"/>
  <c r="P14" i="13"/>
  <c r="O14" i="13"/>
  <c r="N14" i="13"/>
  <c r="M14" i="13"/>
  <c r="L14" i="13"/>
  <c r="K14" i="13"/>
  <c r="I14" i="13"/>
  <c r="H14" i="13"/>
  <c r="F14" i="13"/>
  <c r="E14" i="13"/>
  <c r="D14" i="13"/>
  <c r="C14" i="13"/>
  <c r="B14" i="13"/>
  <c r="A14" i="13"/>
  <c r="AD13" i="13"/>
  <c r="AC13" i="13"/>
  <c r="AB13" i="13"/>
  <c r="V13" i="13"/>
  <c r="U13" i="13"/>
  <c r="T13" i="13"/>
  <c r="S13" i="13"/>
  <c r="R13" i="13"/>
  <c r="Q13" i="13"/>
  <c r="P13" i="13"/>
  <c r="O13" i="13"/>
  <c r="N13" i="13"/>
  <c r="M13" i="13"/>
  <c r="L13" i="13"/>
  <c r="K13" i="13"/>
  <c r="I13" i="13"/>
  <c r="H13" i="13"/>
  <c r="F13" i="13"/>
  <c r="E13" i="13"/>
  <c r="D13" i="13"/>
  <c r="C13" i="13"/>
  <c r="B13" i="13"/>
  <c r="A13" i="13"/>
  <c r="AD12" i="13"/>
  <c r="AC12" i="13"/>
  <c r="AB12" i="13"/>
  <c r="V12" i="13"/>
  <c r="U12" i="13"/>
  <c r="T12" i="13"/>
  <c r="S12" i="13"/>
  <c r="R12" i="13"/>
  <c r="Q12" i="13"/>
  <c r="P12" i="13"/>
  <c r="O12" i="13"/>
  <c r="N12" i="13"/>
  <c r="M12" i="13"/>
  <c r="L12" i="13"/>
  <c r="K12" i="13"/>
  <c r="I12" i="13"/>
  <c r="H12" i="13"/>
  <c r="F12" i="13"/>
  <c r="E12" i="13"/>
  <c r="D12" i="13"/>
  <c r="C12" i="13"/>
  <c r="B12" i="13"/>
  <c r="A12" i="13"/>
  <c r="AD11" i="13"/>
  <c r="AC11" i="13"/>
  <c r="AB11" i="13"/>
  <c r="V11" i="13"/>
  <c r="U11" i="13"/>
  <c r="T11" i="13"/>
  <c r="S11" i="13"/>
  <c r="R11" i="13"/>
  <c r="Q11" i="13"/>
  <c r="P11" i="13"/>
  <c r="O11" i="13"/>
  <c r="N11" i="13"/>
  <c r="M11" i="13"/>
  <c r="L11" i="13"/>
  <c r="K11" i="13"/>
  <c r="I11" i="13"/>
  <c r="H11" i="13"/>
  <c r="F11" i="13"/>
  <c r="E11" i="13"/>
  <c r="D11" i="13"/>
  <c r="C11" i="13"/>
  <c r="B11" i="13"/>
  <c r="A11" i="13"/>
  <c r="AD10" i="13"/>
  <c r="AC10" i="13"/>
  <c r="AB10" i="13"/>
  <c r="V10" i="13"/>
  <c r="U10" i="13"/>
  <c r="T10" i="13"/>
  <c r="S10" i="13"/>
  <c r="R10" i="13"/>
  <c r="Q10" i="13"/>
  <c r="P10" i="13"/>
  <c r="O10" i="13"/>
  <c r="N10" i="13"/>
  <c r="M10" i="13"/>
  <c r="L10" i="13"/>
  <c r="K10" i="13"/>
  <c r="I10" i="13"/>
  <c r="H10" i="13"/>
  <c r="F10" i="13"/>
  <c r="E10" i="13"/>
  <c r="D10" i="13"/>
  <c r="C10" i="13"/>
  <c r="B10" i="13"/>
  <c r="A10" i="13"/>
  <c r="AD9" i="13"/>
  <c r="AC9" i="13"/>
  <c r="AB9" i="13"/>
  <c r="V9" i="13"/>
  <c r="U9" i="13"/>
  <c r="T9" i="13"/>
  <c r="S9" i="13"/>
  <c r="R9" i="13"/>
  <c r="Q9" i="13"/>
  <c r="P9" i="13"/>
  <c r="O9" i="13"/>
  <c r="N9" i="13"/>
  <c r="M9" i="13"/>
  <c r="L9" i="13"/>
  <c r="K9" i="13"/>
  <c r="I9" i="13"/>
  <c r="H9" i="13"/>
  <c r="F9" i="13"/>
  <c r="E9" i="13"/>
  <c r="D9" i="13"/>
  <c r="C9" i="13"/>
  <c r="B9" i="13"/>
  <c r="A9" i="13"/>
  <c r="AD8" i="13"/>
  <c r="AC8" i="13"/>
  <c r="AB8" i="13"/>
  <c r="V8" i="13"/>
  <c r="U8" i="13"/>
  <c r="T8" i="13"/>
  <c r="S8" i="13"/>
  <c r="R8" i="13"/>
  <c r="Q8" i="13"/>
  <c r="P8" i="13"/>
  <c r="O8" i="13"/>
  <c r="N8" i="13"/>
  <c r="M8" i="13"/>
  <c r="L8" i="13"/>
  <c r="K8" i="13"/>
  <c r="H8" i="13"/>
  <c r="F8" i="13"/>
  <c r="E8" i="13"/>
  <c r="D8" i="13"/>
  <c r="C8" i="13"/>
  <c r="B8" i="13"/>
  <c r="A8" i="13"/>
  <c r="AD7" i="13"/>
  <c r="AC7" i="13"/>
  <c r="AB7" i="13"/>
  <c r="V7" i="13"/>
  <c r="U7" i="13"/>
  <c r="T7" i="13"/>
  <c r="S7" i="13"/>
  <c r="R7" i="13"/>
  <c r="Q7" i="13"/>
  <c r="P7" i="13"/>
  <c r="O7" i="13"/>
  <c r="N7" i="13"/>
  <c r="M7" i="13"/>
  <c r="L7" i="13"/>
  <c r="K7" i="13"/>
  <c r="I7" i="13"/>
  <c r="H7" i="13"/>
  <c r="F7" i="13"/>
  <c r="E7" i="13"/>
  <c r="D7" i="13"/>
  <c r="C7" i="13"/>
  <c r="B7" i="13"/>
  <c r="A7" i="13"/>
  <c r="AD6" i="13"/>
  <c r="AC6" i="13"/>
  <c r="AB6" i="13"/>
  <c r="V6" i="13"/>
  <c r="U6" i="13"/>
  <c r="T6" i="13"/>
  <c r="S6" i="13"/>
  <c r="R6" i="13"/>
  <c r="Q6" i="13"/>
  <c r="P6" i="13"/>
  <c r="O6" i="13"/>
  <c r="N6" i="13"/>
  <c r="M6" i="13"/>
  <c r="L6" i="13"/>
  <c r="K6" i="13"/>
  <c r="I6" i="13"/>
  <c r="H6" i="13"/>
  <c r="F6" i="13"/>
  <c r="E6" i="13"/>
  <c r="D6" i="13"/>
  <c r="C6" i="13"/>
  <c r="B6" i="13"/>
  <c r="A6" i="13"/>
  <c r="AD5" i="13"/>
  <c r="AC5" i="13"/>
  <c r="AB5" i="13"/>
  <c r="V5" i="13"/>
  <c r="U5" i="13"/>
  <c r="T5" i="13"/>
  <c r="S5" i="13"/>
  <c r="R5" i="13"/>
  <c r="Q5" i="13"/>
  <c r="P5" i="13"/>
  <c r="O5" i="13"/>
  <c r="N5" i="13"/>
  <c r="M5" i="13"/>
  <c r="L5" i="13"/>
  <c r="K5" i="13"/>
  <c r="I5" i="13"/>
  <c r="H5" i="13"/>
  <c r="F5" i="13"/>
  <c r="E5" i="13"/>
  <c r="D5" i="13"/>
  <c r="C5" i="13"/>
  <c r="B5" i="13"/>
  <c r="A5" i="13"/>
  <c r="AD4" i="13"/>
  <c r="AC4" i="13"/>
  <c r="AB4" i="13"/>
  <c r="X4" i="13"/>
  <c r="V4" i="13"/>
  <c r="U4" i="13"/>
  <c r="T4" i="13"/>
  <c r="S4" i="13"/>
  <c r="R4" i="13"/>
  <c r="Q4" i="13"/>
  <c r="P4" i="13"/>
  <c r="O4" i="13"/>
  <c r="N4" i="13"/>
  <c r="M4" i="13"/>
  <c r="L4" i="13"/>
  <c r="K4" i="13"/>
  <c r="I4" i="13"/>
  <c r="H4" i="13"/>
  <c r="F4" i="13"/>
  <c r="E4" i="13"/>
  <c r="D4" i="13"/>
  <c r="C4" i="13"/>
  <c r="B4" i="13"/>
  <c r="A4" i="13"/>
  <c r="AD3" i="13"/>
  <c r="AC3" i="13"/>
  <c r="AB3" i="13"/>
  <c r="V3" i="13"/>
  <c r="U3" i="13"/>
  <c r="T3" i="13"/>
  <c r="S3" i="13"/>
  <c r="R3" i="13"/>
  <c r="Q3" i="13"/>
  <c r="P3" i="13"/>
  <c r="O3" i="13"/>
  <c r="N3" i="13"/>
  <c r="M3" i="13"/>
  <c r="L3" i="13"/>
  <c r="K3" i="13"/>
  <c r="I3" i="13"/>
  <c r="H3" i="13"/>
  <c r="F3" i="13"/>
  <c r="E3" i="13"/>
  <c r="D3" i="13"/>
  <c r="C3" i="13"/>
  <c r="B3" i="13"/>
  <c r="A3" i="13"/>
  <c r="AD2" i="13"/>
  <c r="AC2" i="13"/>
  <c r="AB2" i="13"/>
  <c r="AA2" i="13"/>
  <c r="V2" i="13"/>
  <c r="U2" i="13"/>
  <c r="T2" i="13"/>
  <c r="S2" i="13"/>
  <c r="R2" i="13"/>
  <c r="Q2" i="13"/>
  <c r="P2" i="13"/>
  <c r="O2" i="13"/>
  <c r="O35" i="13" s="1"/>
  <c r="D6" i="9" s="1"/>
  <c r="N2" i="13"/>
  <c r="M2" i="13"/>
  <c r="L2" i="13"/>
  <c r="K2" i="13"/>
  <c r="J36" i="13" s="1"/>
  <c r="I2" i="13"/>
  <c r="H2" i="13"/>
  <c r="F2" i="13"/>
  <c r="E2" i="13"/>
  <c r="D2" i="13"/>
  <c r="C2" i="13"/>
  <c r="B2" i="13"/>
  <c r="A2" i="13"/>
  <c r="J22" i="12"/>
  <c r="J21" i="12"/>
  <c r="J20" i="12"/>
  <c r="K19" i="12"/>
  <c r="J9" i="6" s="1"/>
  <c r="J19" i="12"/>
  <c r="AD17" i="12"/>
  <c r="AC17" i="12"/>
  <c r="AB17" i="12"/>
  <c r="V17" i="12"/>
  <c r="U17" i="12"/>
  <c r="T17" i="12"/>
  <c r="S17" i="12"/>
  <c r="R17" i="12"/>
  <c r="Q17" i="12"/>
  <c r="P17" i="12"/>
  <c r="O17" i="12"/>
  <c r="N17" i="12"/>
  <c r="M17" i="12"/>
  <c r="L17" i="12"/>
  <c r="K17" i="12"/>
  <c r="I17" i="12"/>
  <c r="H17" i="12"/>
  <c r="F17" i="12"/>
  <c r="E17" i="12"/>
  <c r="D17" i="12"/>
  <c r="C17" i="12"/>
  <c r="B17" i="12"/>
  <c r="A17" i="12"/>
  <c r="AD16" i="12"/>
  <c r="AC16" i="12"/>
  <c r="AB16" i="12"/>
  <c r="V16" i="12"/>
  <c r="U16" i="12"/>
  <c r="T16" i="12"/>
  <c r="S16" i="12"/>
  <c r="R16" i="12"/>
  <c r="Q16" i="12"/>
  <c r="P16" i="12"/>
  <c r="O16" i="12"/>
  <c r="N16" i="12"/>
  <c r="M16" i="12"/>
  <c r="L16" i="12"/>
  <c r="K16" i="12"/>
  <c r="H16" i="12"/>
  <c r="F16" i="12"/>
  <c r="E16" i="12"/>
  <c r="D16" i="12"/>
  <c r="C16" i="12"/>
  <c r="B16" i="12"/>
  <c r="A16" i="12"/>
  <c r="AD15" i="12"/>
  <c r="AC15" i="12"/>
  <c r="AB15" i="12"/>
  <c r="V15" i="12"/>
  <c r="U15" i="12"/>
  <c r="T15" i="12"/>
  <c r="S15" i="12"/>
  <c r="R15" i="12"/>
  <c r="Q15" i="12"/>
  <c r="P15" i="12"/>
  <c r="O15" i="12"/>
  <c r="N15" i="12"/>
  <c r="M15" i="12"/>
  <c r="L15" i="12"/>
  <c r="K15" i="12"/>
  <c r="I15" i="12"/>
  <c r="H15" i="12"/>
  <c r="F15" i="12"/>
  <c r="E15" i="12"/>
  <c r="D15" i="12"/>
  <c r="C15" i="12"/>
  <c r="B15" i="12"/>
  <c r="A15" i="12"/>
  <c r="AD14" i="12"/>
  <c r="AC14" i="12"/>
  <c r="AB14" i="12"/>
  <c r="V14" i="12"/>
  <c r="U14" i="12"/>
  <c r="T14" i="12"/>
  <c r="S14" i="12"/>
  <c r="R14" i="12"/>
  <c r="Q14" i="12"/>
  <c r="P14" i="12"/>
  <c r="O14" i="12"/>
  <c r="N14" i="12"/>
  <c r="M14" i="12"/>
  <c r="L14" i="12"/>
  <c r="K14" i="12"/>
  <c r="I14" i="12"/>
  <c r="H14" i="12"/>
  <c r="F14" i="12"/>
  <c r="E14" i="12"/>
  <c r="D14" i="12"/>
  <c r="C14" i="12"/>
  <c r="B14" i="12"/>
  <c r="A14" i="12"/>
  <c r="AD13" i="12"/>
  <c r="AC13" i="12"/>
  <c r="AB13" i="12"/>
  <c r="V13" i="12"/>
  <c r="U13" i="12"/>
  <c r="T13" i="12"/>
  <c r="S13" i="12"/>
  <c r="R13" i="12"/>
  <c r="Q13" i="12"/>
  <c r="P13" i="12"/>
  <c r="O13" i="12"/>
  <c r="N13" i="12"/>
  <c r="M13" i="12"/>
  <c r="L13" i="12"/>
  <c r="K13" i="12"/>
  <c r="I13" i="12"/>
  <c r="H13" i="12"/>
  <c r="F13" i="12"/>
  <c r="E13" i="12"/>
  <c r="D13" i="12"/>
  <c r="C13" i="12"/>
  <c r="B13" i="12"/>
  <c r="A13" i="12"/>
  <c r="AD12" i="12"/>
  <c r="AC12" i="12"/>
  <c r="AB12" i="12"/>
  <c r="X12" i="12"/>
  <c r="W12" i="12"/>
  <c r="V12" i="12"/>
  <c r="U12" i="12"/>
  <c r="T12" i="12"/>
  <c r="S12" i="12"/>
  <c r="R12" i="12"/>
  <c r="Q12" i="12"/>
  <c r="P12" i="12"/>
  <c r="O12" i="12"/>
  <c r="N12" i="12"/>
  <c r="M12" i="12"/>
  <c r="L12" i="12"/>
  <c r="K12" i="12"/>
  <c r="I12" i="12"/>
  <c r="H12" i="12"/>
  <c r="F12" i="12"/>
  <c r="E12" i="12"/>
  <c r="D12" i="12"/>
  <c r="C12" i="12"/>
  <c r="B12" i="12"/>
  <c r="A12" i="12"/>
  <c r="AD11" i="12"/>
  <c r="AC11" i="12"/>
  <c r="AB11" i="12"/>
  <c r="V11" i="12"/>
  <c r="U11" i="12"/>
  <c r="T11" i="12"/>
  <c r="S11" i="12"/>
  <c r="R11" i="12"/>
  <c r="Q11" i="12"/>
  <c r="P11" i="12"/>
  <c r="O11" i="12"/>
  <c r="N11" i="12"/>
  <c r="M11" i="12"/>
  <c r="L11" i="12"/>
  <c r="K11" i="12"/>
  <c r="I11" i="12"/>
  <c r="H11" i="12"/>
  <c r="F11" i="12"/>
  <c r="E11" i="12"/>
  <c r="D11" i="12"/>
  <c r="C11" i="12"/>
  <c r="B11" i="12"/>
  <c r="A11" i="12"/>
  <c r="AD10" i="12"/>
  <c r="AC10" i="12"/>
  <c r="AB10" i="12"/>
  <c r="V10" i="12"/>
  <c r="U10" i="12"/>
  <c r="T10" i="12"/>
  <c r="S10" i="12"/>
  <c r="R10" i="12"/>
  <c r="Q10" i="12"/>
  <c r="P10" i="12"/>
  <c r="O10" i="12"/>
  <c r="N10" i="12"/>
  <c r="M10" i="12"/>
  <c r="L10" i="12"/>
  <c r="K10" i="12"/>
  <c r="I10" i="12"/>
  <c r="H10" i="12"/>
  <c r="F10" i="12"/>
  <c r="E10" i="12"/>
  <c r="D10" i="12"/>
  <c r="C10" i="12"/>
  <c r="B10" i="12"/>
  <c r="A10" i="12"/>
  <c r="AD9" i="12"/>
  <c r="AC9" i="12"/>
  <c r="AB9" i="12"/>
  <c r="V9" i="12"/>
  <c r="U9" i="12"/>
  <c r="T9" i="12"/>
  <c r="S9" i="12"/>
  <c r="R9" i="12"/>
  <c r="Q9" i="12"/>
  <c r="P9" i="12"/>
  <c r="O9" i="12"/>
  <c r="N9" i="12"/>
  <c r="M9" i="12"/>
  <c r="L9" i="12"/>
  <c r="K9" i="12"/>
  <c r="I9" i="12"/>
  <c r="H9" i="12"/>
  <c r="F9" i="12"/>
  <c r="E9" i="12"/>
  <c r="D9" i="12"/>
  <c r="C9" i="12"/>
  <c r="B9" i="12"/>
  <c r="A9" i="12"/>
  <c r="AD8" i="12"/>
  <c r="AC8" i="12"/>
  <c r="AB8" i="12"/>
  <c r="V8" i="12"/>
  <c r="U8" i="12"/>
  <c r="T8" i="12"/>
  <c r="S8" i="12"/>
  <c r="R8" i="12"/>
  <c r="Q8" i="12"/>
  <c r="P8" i="12"/>
  <c r="O8" i="12"/>
  <c r="N8" i="12"/>
  <c r="M8" i="12"/>
  <c r="L8" i="12"/>
  <c r="K8" i="12"/>
  <c r="K21" i="12" s="1"/>
  <c r="I8" i="12"/>
  <c r="H8" i="12"/>
  <c r="F8" i="12"/>
  <c r="E8" i="12"/>
  <c r="D8" i="12"/>
  <c r="C8" i="12"/>
  <c r="B8" i="12"/>
  <c r="A8" i="12"/>
  <c r="AD7" i="12"/>
  <c r="AC7" i="12"/>
  <c r="AB7" i="12"/>
  <c r="V7" i="12"/>
  <c r="U7" i="12"/>
  <c r="T7" i="12"/>
  <c r="S7" i="12"/>
  <c r="R7" i="12"/>
  <c r="Q7" i="12"/>
  <c r="P7" i="12"/>
  <c r="O7" i="12"/>
  <c r="N7" i="12"/>
  <c r="M7" i="12"/>
  <c r="L7" i="12"/>
  <c r="K7" i="12"/>
  <c r="I7" i="12"/>
  <c r="H7" i="12"/>
  <c r="F7" i="12"/>
  <c r="E7" i="12"/>
  <c r="D7" i="12"/>
  <c r="C7" i="12"/>
  <c r="B7" i="12"/>
  <c r="A7" i="12"/>
  <c r="AD6" i="12"/>
  <c r="AC6" i="12"/>
  <c r="AB6" i="12"/>
  <c r="V6" i="12"/>
  <c r="U6" i="12"/>
  <c r="T6" i="12"/>
  <c r="S6" i="12"/>
  <c r="R6" i="12"/>
  <c r="Q6" i="12"/>
  <c r="P6" i="12"/>
  <c r="O6" i="12"/>
  <c r="N6" i="12"/>
  <c r="M6" i="12"/>
  <c r="L6" i="12"/>
  <c r="K6" i="12"/>
  <c r="I6" i="12"/>
  <c r="H6" i="12"/>
  <c r="F6" i="12"/>
  <c r="E6" i="12"/>
  <c r="D6" i="12"/>
  <c r="C6" i="12"/>
  <c r="B6" i="12"/>
  <c r="A6" i="12"/>
  <c r="AD5" i="12"/>
  <c r="AC5" i="12"/>
  <c r="AB5" i="12"/>
  <c r="V5" i="12"/>
  <c r="U5" i="12"/>
  <c r="T5" i="12"/>
  <c r="S5" i="12"/>
  <c r="R5" i="12"/>
  <c r="Q5" i="12"/>
  <c r="P5" i="12"/>
  <c r="O5" i="12"/>
  <c r="N5" i="12"/>
  <c r="M5" i="12"/>
  <c r="L5" i="12"/>
  <c r="K5" i="12"/>
  <c r="I5" i="12"/>
  <c r="H5" i="12"/>
  <c r="F5" i="12"/>
  <c r="E5" i="12"/>
  <c r="D5" i="12"/>
  <c r="C5" i="12"/>
  <c r="B5" i="12"/>
  <c r="A5" i="12"/>
  <c r="AD4" i="12"/>
  <c r="AC4" i="12"/>
  <c r="AB4" i="12"/>
  <c r="V4" i="12"/>
  <c r="U4" i="12"/>
  <c r="T4" i="12"/>
  <c r="S4" i="12"/>
  <c r="R4" i="12"/>
  <c r="Q4" i="12"/>
  <c r="P4" i="12"/>
  <c r="O4" i="12"/>
  <c r="N4" i="12"/>
  <c r="M4" i="12"/>
  <c r="L4" i="12"/>
  <c r="K4" i="12"/>
  <c r="I4" i="12"/>
  <c r="H4" i="12"/>
  <c r="F4" i="12"/>
  <c r="E4" i="12"/>
  <c r="D4" i="12"/>
  <c r="C4" i="12"/>
  <c r="B4" i="12"/>
  <c r="A4" i="12"/>
  <c r="AD3" i="12"/>
  <c r="AC3" i="12"/>
  <c r="AB3" i="12"/>
  <c r="V3" i="12"/>
  <c r="U3" i="12"/>
  <c r="T3" i="12"/>
  <c r="S3" i="12"/>
  <c r="R3" i="12"/>
  <c r="Q3" i="12"/>
  <c r="P3" i="12"/>
  <c r="O3" i="12"/>
  <c r="N3" i="12"/>
  <c r="M3" i="12"/>
  <c r="L3" i="12"/>
  <c r="K3" i="12"/>
  <c r="I3" i="12"/>
  <c r="H3" i="12"/>
  <c r="F3" i="12"/>
  <c r="E3" i="12"/>
  <c r="D3" i="12"/>
  <c r="C3" i="12"/>
  <c r="B3" i="12"/>
  <c r="A3" i="12"/>
  <c r="AD2" i="12"/>
  <c r="AC2" i="12"/>
  <c r="AB2" i="12"/>
  <c r="V2" i="12"/>
  <c r="U2" i="12"/>
  <c r="T2" i="12"/>
  <c r="S2" i="12"/>
  <c r="R2" i="12"/>
  <c r="Q2" i="12"/>
  <c r="P2" i="12"/>
  <c r="O2" i="12"/>
  <c r="N2" i="12"/>
  <c r="M2" i="12"/>
  <c r="L2" i="12"/>
  <c r="K2" i="12"/>
  <c r="K22" i="12" s="1"/>
  <c r="I2" i="12"/>
  <c r="H2" i="12"/>
  <c r="F2" i="12"/>
  <c r="E2" i="12"/>
  <c r="D2" i="12"/>
  <c r="C2" i="12"/>
  <c r="B2" i="12"/>
  <c r="A2" i="12"/>
  <c r="J21" i="11"/>
  <c r="J20" i="11"/>
  <c r="J19" i="11"/>
  <c r="K18" i="11"/>
  <c r="J18" i="11"/>
  <c r="AD14" i="11"/>
  <c r="AC14" i="11"/>
  <c r="AB14" i="11"/>
  <c r="V14" i="11"/>
  <c r="U14" i="11"/>
  <c r="T14" i="11"/>
  <c r="S14" i="11"/>
  <c r="R14" i="11"/>
  <c r="Q14" i="11"/>
  <c r="P14" i="11"/>
  <c r="O14" i="11"/>
  <c r="N14" i="11"/>
  <c r="M14" i="11"/>
  <c r="L14" i="11"/>
  <c r="K14" i="11"/>
  <c r="I14" i="11"/>
  <c r="H14" i="11"/>
  <c r="F14" i="11"/>
  <c r="E14" i="11"/>
  <c r="D14" i="11"/>
  <c r="C14" i="11"/>
  <c r="B14" i="11"/>
  <c r="A14" i="11"/>
  <c r="AD13" i="11"/>
  <c r="AC13" i="11"/>
  <c r="AB13" i="11"/>
  <c r="V13" i="11"/>
  <c r="U13" i="11"/>
  <c r="T13" i="11"/>
  <c r="S13" i="11"/>
  <c r="R13" i="11"/>
  <c r="Q13" i="11"/>
  <c r="P13" i="11"/>
  <c r="O13" i="11"/>
  <c r="N13" i="11"/>
  <c r="M13" i="11"/>
  <c r="L13" i="11"/>
  <c r="K13" i="11"/>
  <c r="K21" i="11" s="1"/>
  <c r="I13" i="11"/>
  <c r="H13" i="11"/>
  <c r="F13" i="11"/>
  <c r="E13" i="11"/>
  <c r="D13" i="11"/>
  <c r="C13" i="11"/>
  <c r="B13" i="11"/>
  <c r="A13" i="11"/>
  <c r="AD12" i="11"/>
  <c r="AC12" i="11"/>
  <c r="AB12" i="11"/>
  <c r="V12" i="11"/>
  <c r="U12" i="11"/>
  <c r="T12" i="11"/>
  <c r="S12" i="11"/>
  <c r="R12" i="11"/>
  <c r="Q12" i="11"/>
  <c r="P12" i="11"/>
  <c r="O12" i="11"/>
  <c r="N12" i="11"/>
  <c r="M12" i="11"/>
  <c r="L12" i="11"/>
  <c r="K12" i="11"/>
  <c r="I12" i="11"/>
  <c r="H12" i="11"/>
  <c r="F12" i="11"/>
  <c r="E12" i="11"/>
  <c r="D12" i="11"/>
  <c r="C12" i="11"/>
  <c r="B12" i="11"/>
  <c r="A12" i="11"/>
  <c r="AD11" i="11"/>
  <c r="AC11" i="11"/>
  <c r="AB11" i="11"/>
  <c r="V11" i="11"/>
  <c r="U11" i="11"/>
  <c r="T11" i="11"/>
  <c r="S11" i="11"/>
  <c r="R11" i="11"/>
  <c r="Q11" i="11"/>
  <c r="P11" i="11"/>
  <c r="O11" i="11"/>
  <c r="N11" i="11"/>
  <c r="M11" i="11"/>
  <c r="L11" i="11"/>
  <c r="K11" i="11"/>
  <c r="H11" i="11"/>
  <c r="F11" i="11"/>
  <c r="E11" i="11"/>
  <c r="D11" i="11"/>
  <c r="C11" i="11"/>
  <c r="B11" i="11"/>
  <c r="A11" i="11"/>
  <c r="AD10" i="11"/>
  <c r="AC10" i="11"/>
  <c r="AB10" i="11"/>
  <c r="V10" i="11"/>
  <c r="U10" i="11"/>
  <c r="T10" i="11"/>
  <c r="S10" i="11"/>
  <c r="R10" i="11"/>
  <c r="Q10" i="11"/>
  <c r="P10" i="11"/>
  <c r="O10" i="11"/>
  <c r="N10" i="11"/>
  <c r="M10" i="11"/>
  <c r="L10" i="11"/>
  <c r="K10" i="11"/>
  <c r="I10" i="11"/>
  <c r="H10" i="11"/>
  <c r="F10" i="11"/>
  <c r="E10" i="11"/>
  <c r="D10" i="11"/>
  <c r="C10" i="11"/>
  <c r="B10" i="11"/>
  <c r="A10" i="11"/>
  <c r="AD9" i="11"/>
  <c r="AC9" i="11"/>
  <c r="AB9" i="11"/>
  <c r="V9" i="11"/>
  <c r="U9" i="11"/>
  <c r="T9" i="11"/>
  <c r="S9" i="11"/>
  <c r="R9" i="11"/>
  <c r="Q9" i="11"/>
  <c r="P9" i="11"/>
  <c r="O9" i="11"/>
  <c r="N9" i="11"/>
  <c r="M9" i="11"/>
  <c r="L9" i="11"/>
  <c r="K9" i="11"/>
  <c r="I9" i="11"/>
  <c r="H9" i="11"/>
  <c r="F9" i="11"/>
  <c r="E9" i="11"/>
  <c r="D9" i="11"/>
  <c r="C9" i="11"/>
  <c r="B9" i="11"/>
  <c r="A9" i="11"/>
  <c r="AD8" i="11"/>
  <c r="AC8" i="11"/>
  <c r="AB8" i="11"/>
  <c r="V8" i="11"/>
  <c r="U8" i="11"/>
  <c r="T8" i="11"/>
  <c r="T15" i="11" s="1"/>
  <c r="S8" i="11"/>
  <c r="R8" i="11"/>
  <c r="Q8" i="11"/>
  <c r="P8" i="11"/>
  <c r="O8" i="11"/>
  <c r="N8" i="11"/>
  <c r="M8" i="11"/>
  <c r="L8" i="11"/>
  <c r="K8" i="11"/>
  <c r="I8" i="11"/>
  <c r="H8" i="11"/>
  <c r="F8" i="11"/>
  <c r="E8" i="11"/>
  <c r="D8" i="11"/>
  <c r="C8" i="11"/>
  <c r="B8" i="11"/>
  <c r="A8" i="11"/>
  <c r="AD7" i="11"/>
  <c r="AC7" i="11"/>
  <c r="AB7" i="11"/>
  <c r="V7" i="11"/>
  <c r="U7" i="11"/>
  <c r="T7" i="11"/>
  <c r="S7" i="11"/>
  <c r="R7" i="11"/>
  <c r="Q7" i="11"/>
  <c r="P7" i="11"/>
  <c r="O7" i="11"/>
  <c r="N7" i="11"/>
  <c r="M7" i="11"/>
  <c r="L7" i="11"/>
  <c r="K7" i="11"/>
  <c r="I7" i="11"/>
  <c r="H7" i="11"/>
  <c r="F7" i="11"/>
  <c r="E7" i="11"/>
  <c r="D7" i="11"/>
  <c r="C7" i="11"/>
  <c r="B7" i="11"/>
  <c r="A7" i="11"/>
  <c r="AD6" i="11"/>
  <c r="AC6" i="11"/>
  <c r="AB6" i="11"/>
  <c r="V6" i="11"/>
  <c r="U6" i="11"/>
  <c r="T6" i="11"/>
  <c r="S6" i="11"/>
  <c r="R6" i="11"/>
  <c r="Q6" i="11"/>
  <c r="P6" i="11"/>
  <c r="O6" i="11"/>
  <c r="N6" i="11"/>
  <c r="M6" i="11"/>
  <c r="L6" i="11"/>
  <c r="K6" i="11"/>
  <c r="I6" i="11"/>
  <c r="H6" i="11"/>
  <c r="F6" i="11"/>
  <c r="E6" i="11"/>
  <c r="D6" i="11"/>
  <c r="C6" i="11"/>
  <c r="B6" i="11"/>
  <c r="A6" i="11"/>
  <c r="AD5" i="11"/>
  <c r="AC5" i="11"/>
  <c r="AB5" i="11"/>
  <c r="V5" i="11"/>
  <c r="U5" i="11"/>
  <c r="T5" i="11"/>
  <c r="S5" i="11"/>
  <c r="R5" i="11"/>
  <c r="Q5" i="11"/>
  <c r="P5" i="11"/>
  <c r="O5" i="11"/>
  <c r="N5" i="11"/>
  <c r="M5" i="11"/>
  <c r="L5" i="11"/>
  <c r="K5" i="11"/>
  <c r="I5" i="11"/>
  <c r="H5" i="11"/>
  <c r="F5" i="11"/>
  <c r="E5" i="11"/>
  <c r="D5" i="11"/>
  <c r="C5" i="11"/>
  <c r="B5" i="11"/>
  <c r="A5" i="11"/>
  <c r="AD4" i="11"/>
  <c r="AC4" i="11"/>
  <c r="AB4" i="11"/>
  <c r="W4" i="11"/>
  <c r="V4" i="11"/>
  <c r="U4" i="11"/>
  <c r="T4" i="11"/>
  <c r="S4" i="11"/>
  <c r="R4" i="11"/>
  <c r="Q4" i="11"/>
  <c r="P4" i="11"/>
  <c r="O4" i="11"/>
  <c r="N4" i="11"/>
  <c r="M4" i="11"/>
  <c r="L4" i="11"/>
  <c r="K4" i="11"/>
  <c r="I4" i="11"/>
  <c r="H4" i="11"/>
  <c r="F4" i="11"/>
  <c r="E4" i="11"/>
  <c r="D4" i="11"/>
  <c r="C4" i="11"/>
  <c r="B4" i="11"/>
  <c r="A4" i="11"/>
  <c r="AD3" i="11"/>
  <c r="AC3" i="11"/>
  <c r="AB3" i="11"/>
  <c r="V3" i="11"/>
  <c r="U3" i="11"/>
  <c r="T3" i="11"/>
  <c r="S3" i="11"/>
  <c r="R3" i="11"/>
  <c r="Q3" i="11"/>
  <c r="P3" i="11"/>
  <c r="O3" i="11"/>
  <c r="N3" i="11"/>
  <c r="M3" i="11"/>
  <c r="L3" i="11"/>
  <c r="K3" i="11"/>
  <c r="K19" i="11" s="1"/>
  <c r="I3" i="11"/>
  <c r="H3" i="11"/>
  <c r="F3" i="11"/>
  <c r="E3" i="11"/>
  <c r="D3" i="11"/>
  <c r="C3" i="11"/>
  <c r="B3" i="11"/>
  <c r="A3" i="11"/>
  <c r="AD2" i="11"/>
  <c r="AC2" i="11"/>
  <c r="AB2" i="11"/>
  <c r="V2" i="11"/>
  <c r="U2" i="11"/>
  <c r="T2" i="11"/>
  <c r="S2" i="11"/>
  <c r="R2" i="11"/>
  <c r="Q2" i="11"/>
  <c r="Q15" i="11" s="1"/>
  <c r="F4" i="9" s="1"/>
  <c r="P2" i="11"/>
  <c r="P15" i="11" s="1"/>
  <c r="E4" i="9" s="1"/>
  <c r="O2" i="11"/>
  <c r="N2" i="11"/>
  <c r="M2" i="11"/>
  <c r="L2" i="11"/>
  <c r="K2" i="11"/>
  <c r="I2" i="11"/>
  <c r="H2" i="11"/>
  <c r="F2" i="11"/>
  <c r="E2" i="11"/>
  <c r="D2" i="11"/>
  <c r="C2" i="11"/>
  <c r="B2" i="11"/>
  <c r="A2" i="11"/>
  <c r="I18" i="10"/>
  <c r="I17" i="10"/>
  <c r="I16" i="10"/>
  <c r="AD13" i="10"/>
  <c r="AC13" i="10"/>
  <c r="AB13" i="10"/>
  <c r="V13" i="10"/>
  <c r="U13" i="10"/>
  <c r="T13" i="10"/>
  <c r="S13" i="10"/>
  <c r="R13" i="10"/>
  <c r="Q13" i="10"/>
  <c r="P13" i="10"/>
  <c r="O13" i="10"/>
  <c r="N13" i="10"/>
  <c r="M13" i="10"/>
  <c r="L13" i="10"/>
  <c r="K13" i="10"/>
  <c r="I13" i="10"/>
  <c r="H13" i="10"/>
  <c r="F13" i="10"/>
  <c r="E13" i="10"/>
  <c r="D13" i="10"/>
  <c r="C13" i="10"/>
  <c r="B13" i="10"/>
  <c r="A13" i="10"/>
  <c r="AD12" i="10"/>
  <c r="AC12" i="10"/>
  <c r="AB12" i="10"/>
  <c r="V12" i="10"/>
  <c r="U12" i="10"/>
  <c r="T12" i="10"/>
  <c r="S12" i="10"/>
  <c r="R12" i="10"/>
  <c r="Q12" i="10"/>
  <c r="P12" i="10"/>
  <c r="O12" i="10"/>
  <c r="N12" i="10"/>
  <c r="M12" i="10"/>
  <c r="L12" i="10"/>
  <c r="K12" i="10"/>
  <c r="I12" i="10"/>
  <c r="H12" i="10"/>
  <c r="F12" i="10"/>
  <c r="E12" i="10"/>
  <c r="D12" i="10"/>
  <c r="C12" i="10"/>
  <c r="B12" i="10"/>
  <c r="A12" i="10"/>
  <c r="AD11" i="10"/>
  <c r="AC11" i="10"/>
  <c r="AB11" i="10"/>
  <c r="V11" i="10"/>
  <c r="U11" i="10"/>
  <c r="T11" i="10"/>
  <c r="S11" i="10"/>
  <c r="R11" i="10"/>
  <c r="Q11" i="10"/>
  <c r="P11" i="10"/>
  <c r="O11" i="10"/>
  <c r="N11" i="10"/>
  <c r="M11" i="10"/>
  <c r="L11" i="10"/>
  <c r="K11" i="10"/>
  <c r="I11" i="10"/>
  <c r="H11" i="10"/>
  <c r="F11" i="10"/>
  <c r="E11" i="10"/>
  <c r="D11" i="10"/>
  <c r="C11" i="10"/>
  <c r="B11" i="10"/>
  <c r="A11" i="10"/>
  <c r="AD10" i="10"/>
  <c r="AC10" i="10"/>
  <c r="AB10" i="10"/>
  <c r="AA10" i="10"/>
  <c r="V10" i="10"/>
  <c r="U10" i="10"/>
  <c r="T10" i="10"/>
  <c r="S10" i="10"/>
  <c r="R10" i="10"/>
  <c r="Q10" i="10"/>
  <c r="P10" i="10"/>
  <c r="O10" i="10"/>
  <c r="N10" i="10"/>
  <c r="M10" i="10"/>
  <c r="L10" i="10"/>
  <c r="K10" i="10"/>
  <c r="I10" i="10"/>
  <c r="H10" i="10"/>
  <c r="F10" i="10"/>
  <c r="E10" i="10"/>
  <c r="D10" i="10"/>
  <c r="C10" i="10"/>
  <c r="B10" i="10"/>
  <c r="A10" i="10"/>
  <c r="AD9" i="10"/>
  <c r="AC9" i="10"/>
  <c r="AB9" i="10"/>
  <c r="V9" i="10"/>
  <c r="U9" i="10"/>
  <c r="T9" i="10"/>
  <c r="S9" i="10"/>
  <c r="R9" i="10"/>
  <c r="Q9" i="10"/>
  <c r="P9" i="10"/>
  <c r="O9" i="10"/>
  <c r="N9" i="10"/>
  <c r="M9" i="10"/>
  <c r="L9" i="10"/>
  <c r="K9" i="10"/>
  <c r="I9" i="10"/>
  <c r="H9" i="10"/>
  <c r="F9" i="10"/>
  <c r="E9" i="10"/>
  <c r="D9" i="10"/>
  <c r="C9" i="10"/>
  <c r="B9" i="10"/>
  <c r="A9" i="10"/>
  <c r="AD8" i="10"/>
  <c r="AC8" i="10"/>
  <c r="AB8" i="10"/>
  <c r="V8" i="10"/>
  <c r="U8" i="10"/>
  <c r="T8" i="10"/>
  <c r="S8" i="10"/>
  <c r="R8" i="10"/>
  <c r="Q8" i="10"/>
  <c r="P8" i="10"/>
  <c r="O8" i="10"/>
  <c r="N8" i="10"/>
  <c r="M8" i="10"/>
  <c r="L8" i="10"/>
  <c r="K8" i="10"/>
  <c r="I8" i="10"/>
  <c r="H8" i="10"/>
  <c r="F8" i="10"/>
  <c r="E8" i="10"/>
  <c r="D8" i="10"/>
  <c r="C8" i="10"/>
  <c r="B8" i="10"/>
  <c r="A8" i="10"/>
  <c r="AD7" i="10"/>
  <c r="AC7" i="10"/>
  <c r="AB7" i="10"/>
  <c r="V7" i="10"/>
  <c r="U7" i="10"/>
  <c r="T7" i="10"/>
  <c r="S7" i="10"/>
  <c r="R7" i="10"/>
  <c r="Q7" i="10"/>
  <c r="P7" i="10"/>
  <c r="O7" i="10"/>
  <c r="N7" i="10"/>
  <c r="M7" i="10"/>
  <c r="L7" i="10"/>
  <c r="K7" i="10"/>
  <c r="K18" i="10" s="1"/>
  <c r="I7" i="10"/>
  <c r="H7" i="10"/>
  <c r="F7" i="10"/>
  <c r="E7" i="10"/>
  <c r="D7" i="10"/>
  <c r="C7" i="10"/>
  <c r="B7" i="10"/>
  <c r="A7" i="10"/>
  <c r="AD6" i="10"/>
  <c r="AC6" i="10"/>
  <c r="AB6" i="10"/>
  <c r="V6" i="10"/>
  <c r="U6" i="10"/>
  <c r="T6" i="10"/>
  <c r="S6" i="10"/>
  <c r="R6" i="10"/>
  <c r="Q6" i="10"/>
  <c r="P6" i="10"/>
  <c r="O6" i="10"/>
  <c r="N6" i="10"/>
  <c r="M6" i="10"/>
  <c r="L6" i="10"/>
  <c r="K6" i="10"/>
  <c r="I6" i="10"/>
  <c r="H6" i="10"/>
  <c r="F6" i="10"/>
  <c r="E6" i="10"/>
  <c r="D6" i="10"/>
  <c r="C6" i="10"/>
  <c r="B6" i="10"/>
  <c r="A6" i="10"/>
  <c r="AD5" i="10"/>
  <c r="AC5" i="10"/>
  <c r="AB5" i="10"/>
  <c r="V5" i="10"/>
  <c r="U5" i="10"/>
  <c r="T5" i="10"/>
  <c r="S5" i="10"/>
  <c r="R5" i="10"/>
  <c r="Q5" i="10"/>
  <c r="P5" i="10"/>
  <c r="O5" i="10"/>
  <c r="N5" i="10"/>
  <c r="M5" i="10"/>
  <c r="L5" i="10"/>
  <c r="K5" i="10"/>
  <c r="I5" i="10"/>
  <c r="H5" i="10"/>
  <c r="F5" i="10"/>
  <c r="E5" i="10"/>
  <c r="D5" i="10"/>
  <c r="C5" i="10"/>
  <c r="B5" i="10"/>
  <c r="A5" i="10"/>
  <c r="AD4" i="10"/>
  <c r="AC4" i="10"/>
  <c r="AB4" i="10"/>
  <c r="V4" i="10"/>
  <c r="U4" i="10"/>
  <c r="T4" i="10"/>
  <c r="S4" i="10"/>
  <c r="R4" i="10"/>
  <c r="Q4" i="10"/>
  <c r="P4" i="10"/>
  <c r="O4" i="10"/>
  <c r="N4" i="10"/>
  <c r="M4" i="10"/>
  <c r="L4" i="10"/>
  <c r="K4" i="10"/>
  <c r="I4" i="10"/>
  <c r="H4" i="10"/>
  <c r="F4" i="10"/>
  <c r="E4" i="10"/>
  <c r="D4" i="10"/>
  <c r="C4" i="10"/>
  <c r="B4" i="10"/>
  <c r="A4" i="10"/>
  <c r="AD3" i="10"/>
  <c r="AC3" i="10"/>
  <c r="AB3" i="10"/>
  <c r="V3" i="10"/>
  <c r="U3" i="10"/>
  <c r="T3" i="10"/>
  <c r="S3" i="10"/>
  <c r="R3" i="10"/>
  <c r="Q3" i="10"/>
  <c r="P3" i="10"/>
  <c r="O3" i="10"/>
  <c r="N3" i="10"/>
  <c r="M3" i="10"/>
  <c r="L3" i="10"/>
  <c r="K3" i="10"/>
  <c r="I3" i="10"/>
  <c r="H3" i="10"/>
  <c r="F3" i="10"/>
  <c r="E3" i="10"/>
  <c r="D3" i="10"/>
  <c r="C3" i="10"/>
  <c r="B3" i="10"/>
  <c r="A3" i="10"/>
  <c r="AD2" i="10"/>
  <c r="AC2" i="10"/>
  <c r="AB2" i="10"/>
  <c r="AA2" i="10"/>
  <c r="V2" i="10"/>
  <c r="U2" i="10"/>
  <c r="T2" i="10"/>
  <c r="S2" i="10"/>
  <c r="S14" i="10" s="1"/>
  <c r="H3" i="9" s="1"/>
  <c r="R2" i="10"/>
  <c r="R14" i="10" s="1"/>
  <c r="Q2" i="10"/>
  <c r="Q14" i="10" s="1"/>
  <c r="F3" i="9" s="1"/>
  <c r="P2" i="10"/>
  <c r="O2" i="10"/>
  <c r="N2" i="10"/>
  <c r="M2" i="10"/>
  <c r="L2" i="10"/>
  <c r="K2" i="10"/>
  <c r="H2" i="10"/>
  <c r="F2" i="10"/>
  <c r="E2" i="10"/>
  <c r="D2" i="10"/>
  <c r="C2" i="10"/>
  <c r="B2" i="10"/>
  <c r="A2" i="10"/>
  <c r="F15" i="9"/>
  <c r="H14" i="9"/>
  <c r="G14" i="9"/>
  <c r="E14" i="9"/>
  <c r="D14" i="9"/>
  <c r="C14" i="9"/>
  <c r="E13" i="9"/>
  <c r="D13" i="9"/>
  <c r="C13" i="9"/>
  <c r="E12" i="9"/>
  <c r="C12" i="9"/>
  <c r="H11" i="9"/>
  <c r="G11" i="9"/>
  <c r="F11" i="9"/>
  <c r="D11" i="9"/>
  <c r="G10" i="9"/>
  <c r="D9" i="9"/>
  <c r="C8" i="9"/>
  <c r="C7" i="9"/>
  <c r="G3" i="9"/>
  <c r="H2" i="9"/>
  <c r="G2" i="9"/>
  <c r="F2" i="9"/>
  <c r="E2" i="9"/>
  <c r="D2" i="9"/>
  <c r="C2" i="9"/>
  <c r="J22" i="8"/>
  <c r="J21" i="8"/>
  <c r="AD19" i="8"/>
  <c r="AC19" i="8"/>
  <c r="AB19" i="8"/>
  <c r="V19" i="8"/>
  <c r="U19" i="8"/>
  <c r="T19" i="8"/>
  <c r="S19" i="8"/>
  <c r="R19" i="8"/>
  <c r="Q19" i="8"/>
  <c r="P19" i="8"/>
  <c r="O19" i="8"/>
  <c r="N19" i="8"/>
  <c r="M19" i="8"/>
  <c r="L19" i="8"/>
  <c r="K19" i="8"/>
  <c r="I19" i="8"/>
  <c r="H19" i="8"/>
  <c r="F19" i="8"/>
  <c r="E19" i="8"/>
  <c r="D19" i="8"/>
  <c r="C19" i="8"/>
  <c r="B19" i="8"/>
  <c r="A19" i="8"/>
  <c r="AD18" i="8"/>
  <c r="AC18" i="8"/>
  <c r="AB18" i="8"/>
  <c r="Z18" i="8"/>
  <c r="V18" i="8"/>
  <c r="U18" i="8"/>
  <c r="T18" i="8"/>
  <c r="S18" i="8"/>
  <c r="R18" i="8"/>
  <c r="Q18" i="8"/>
  <c r="P18" i="8"/>
  <c r="O18" i="8"/>
  <c r="N18" i="8"/>
  <c r="M18" i="8"/>
  <c r="L18" i="8"/>
  <c r="K18" i="8"/>
  <c r="I18" i="8"/>
  <c r="H18" i="8"/>
  <c r="F18" i="8"/>
  <c r="E18" i="8"/>
  <c r="D18" i="8"/>
  <c r="C18" i="8"/>
  <c r="B18" i="8"/>
  <c r="A18" i="8"/>
  <c r="AD17" i="8"/>
  <c r="AC17" i="8"/>
  <c r="AB17" i="8"/>
  <c r="V17" i="8"/>
  <c r="U17" i="8"/>
  <c r="T17" i="8"/>
  <c r="S17" i="8"/>
  <c r="R17" i="8"/>
  <c r="Q17" i="8"/>
  <c r="P17" i="8"/>
  <c r="O17" i="8"/>
  <c r="N17" i="8"/>
  <c r="M17" i="8"/>
  <c r="L17" i="8"/>
  <c r="K17" i="8"/>
  <c r="I17" i="8"/>
  <c r="H17" i="8"/>
  <c r="F17" i="8"/>
  <c r="E17" i="8"/>
  <c r="D17" i="8"/>
  <c r="C17" i="8"/>
  <c r="B17" i="8"/>
  <c r="A17" i="8"/>
  <c r="AD16" i="8"/>
  <c r="AC16" i="8"/>
  <c r="AB16" i="8"/>
  <c r="AA16" i="8"/>
  <c r="V16" i="8"/>
  <c r="U16" i="8"/>
  <c r="T16" i="8"/>
  <c r="S16" i="8"/>
  <c r="R16" i="8"/>
  <c r="Q16" i="8"/>
  <c r="P16" i="8"/>
  <c r="O16" i="8"/>
  <c r="N16" i="8"/>
  <c r="M16" i="8"/>
  <c r="L16" i="8"/>
  <c r="K16" i="8"/>
  <c r="I16" i="8"/>
  <c r="H16" i="8"/>
  <c r="F16" i="8"/>
  <c r="E16" i="8"/>
  <c r="D16" i="8"/>
  <c r="C16" i="8"/>
  <c r="B16" i="8"/>
  <c r="A16" i="8"/>
  <c r="AD15" i="8"/>
  <c r="AC15" i="8"/>
  <c r="AB15" i="8"/>
  <c r="Y15" i="8"/>
  <c r="X15" i="8"/>
  <c r="V15" i="8"/>
  <c r="U15" i="8"/>
  <c r="T15" i="8"/>
  <c r="S15" i="8"/>
  <c r="R15" i="8"/>
  <c r="Q15" i="8"/>
  <c r="P15" i="8"/>
  <c r="O15" i="8"/>
  <c r="N15" i="8"/>
  <c r="M15" i="8"/>
  <c r="L15" i="8"/>
  <c r="K15" i="8"/>
  <c r="I15" i="8"/>
  <c r="H15" i="8"/>
  <c r="G15" i="8"/>
  <c r="F15" i="8"/>
  <c r="E15" i="8"/>
  <c r="D15" i="8"/>
  <c r="C15" i="8"/>
  <c r="B15" i="8"/>
  <c r="A15" i="8"/>
  <c r="AD14" i="8"/>
  <c r="AC14" i="8"/>
  <c r="AB14" i="8"/>
  <c r="V14" i="8"/>
  <c r="U14" i="8"/>
  <c r="T14" i="8"/>
  <c r="S14" i="8"/>
  <c r="R14" i="8"/>
  <c r="Q14" i="8"/>
  <c r="P14" i="8"/>
  <c r="O14" i="8"/>
  <c r="N14" i="8"/>
  <c r="M14" i="8"/>
  <c r="L14" i="8"/>
  <c r="K14" i="8"/>
  <c r="I14" i="8"/>
  <c r="H14" i="8"/>
  <c r="F14" i="8"/>
  <c r="E14" i="8"/>
  <c r="D14" i="8"/>
  <c r="C14" i="8"/>
  <c r="B14" i="8"/>
  <c r="A14" i="8"/>
  <c r="AD13" i="8"/>
  <c r="AC13" i="8"/>
  <c r="AB13" i="8"/>
  <c r="AA13" i="8"/>
  <c r="V13" i="8"/>
  <c r="U13" i="8"/>
  <c r="T13" i="8"/>
  <c r="S13" i="8"/>
  <c r="R13" i="8"/>
  <c r="Q13" i="8"/>
  <c r="P13" i="8"/>
  <c r="O13" i="8"/>
  <c r="N13" i="8"/>
  <c r="M13" i="8"/>
  <c r="L13" i="8"/>
  <c r="K13" i="8"/>
  <c r="I13" i="8"/>
  <c r="H13" i="8"/>
  <c r="F13" i="8"/>
  <c r="E13" i="8"/>
  <c r="D13" i="8"/>
  <c r="C13" i="8"/>
  <c r="B13" i="8"/>
  <c r="A13" i="8"/>
  <c r="AD12" i="8"/>
  <c r="AC12" i="8"/>
  <c r="AB12" i="8"/>
  <c r="X12" i="8"/>
  <c r="W12" i="8"/>
  <c r="V12" i="8"/>
  <c r="U12" i="8"/>
  <c r="T12" i="8"/>
  <c r="S12" i="8"/>
  <c r="R12" i="8"/>
  <c r="Q12" i="8"/>
  <c r="P12" i="8"/>
  <c r="O12" i="8"/>
  <c r="N12" i="8"/>
  <c r="M12" i="8"/>
  <c r="L12" i="8"/>
  <c r="K12" i="8"/>
  <c r="I12" i="8"/>
  <c r="H12" i="8"/>
  <c r="G12" i="8"/>
  <c r="F12" i="8"/>
  <c r="E12" i="8"/>
  <c r="D12" i="8"/>
  <c r="C12" i="8"/>
  <c r="B12" i="8"/>
  <c r="A12" i="8"/>
  <c r="AD11" i="8"/>
  <c r="AC11" i="8"/>
  <c r="AB11" i="8"/>
  <c r="V11" i="8"/>
  <c r="U11" i="8"/>
  <c r="T11" i="8"/>
  <c r="S11" i="8"/>
  <c r="R11" i="8"/>
  <c r="Q11" i="8"/>
  <c r="P11" i="8"/>
  <c r="O11" i="8"/>
  <c r="N11" i="8"/>
  <c r="M11" i="8"/>
  <c r="L11" i="8"/>
  <c r="K11" i="8"/>
  <c r="I11" i="8"/>
  <c r="H11" i="8"/>
  <c r="F11" i="8"/>
  <c r="E11" i="8"/>
  <c r="D11" i="8"/>
  <c r="C11" i="8"/>
  <c r="B11" i="8"/>
  <c r="A11" i="8"/>
  <c r="AD10" i="8"/>
  <c r="AC10" i="8"/>
  <c r="AB10" i="8"/>
  <c r="V10" i="8"/>
  <c r="U10" i="8"/>
  <c r="T10" i="8"/>
  <c r="S10" i="8"/>
  <c r="R10" i="8"/>
  <c r="Q10" i="8"/>
  <c r="P10" i="8"/>
  <c r="O10" i="8"/>
  <c r="N10" i="8"/>
  <c r="M10" i="8"/>
  <c r="L10" i="8"/>
  <c r="K10" i="8"/>
  <c r="I10" i="8"/>
  <c r="H10" i="8"/>
  <c r="F10" i="8"/>
  <c r="E10" i="8"/>
  <c r="D10" i="8"/>
  <c r="C10" i="8"/>
  <c r="B10" i="8"/>
  <c r="A10" i="8"/>
  <c r="AD9" i="8"/>
  <c r="AC9" i="8"/>
  <c r="AB9" i="8"/>
  <c r="V9" i="8"/>
  <c r="U9" i="8"/>
  <c r="T9" i="8"/>
  <c r="S9" i="8"/>
  <c r="R9" i="8"/>
  <c r="Q9" i="8"/>
  <c r="P9" i="8"/>
  <c r="O9" i="8"/>
  <c r="N9" i="8"/>
  <c r="M9" i="8"/>
  <c r="L9" i="8"/>
  <c r="K9" i="8"/>
  <c r="H9" i="8"/>
  <c r="F9" i="8"/>
  <c r="E9" i="8"/>
  <c r="D9" i="8"/>
  <c r="C9" i="8"/>
  <c r="B9" i="8"/>
  <c r="A9" i="8"/>
  <c r="AD8" i="8"/>
  <c r="AC8" i="8"/>
  <c r="AB8" i="8"/>
  <c r="AA8" i="8"/>
  <c r="V8" i="8"/>
  <c r="U8" i="8"/>
  <c r="T8" i="8"/>
  <c r="S8" i="8"/>
  <c r="S20" i="8" s="1"/>
  <c r="R8" i="8"/>
  <c r="Q8" i="8"/>
  <c r="P8" i="8"/>
  <c r="O8" i="8"/>
  <c r="N8" i="8"/>
  <c r="M8" i="8"/>
  <c r="L8" i="8"/>
  <c r="K8" i="8"/>
  <c r="I8" i="8"/>
  <c r="H8" i="8"/>
  <c r="F8" i="8"/>
  <c r="E8" i="8"/>
  <c r="D8" i="8"/>
  <c r="C8" i="8"/>
  <c r="B8" i="8"/>
  <c r="A8" i="8"/>
  <c r="AD7" i="8"/>
  <c r="AC7" i="8"/>
  <c r="AB7" i="8"/>
  <c r="Y7" i="8"/>
  <c r="X7" i="8"/>
  <c r="V7" i="8"/>
  <c r="U7" i="8"/>
  <c r="T7" i="8"/>
  <c r="S7" i="8"/>
  <c r="R7" i="8"/>
  <c r="Q7" i="8"/>
  <c r="P7" i="8"/>
  <c r="O7" i="8"/>
  <c r="N7" i="8"/>
  <c r="M7" i="8"/>
  <c r="L7" i="8"/>
  <c r="K7" i="8"/>
  <c r="I7" i="8"/>
  <c r="H7" i="8"/>
  <c r="F7" i="8"/>
  <c r="E7" i="8"/>
  <c r="D7" i="8"/>
  <c r="C7" i="8"/>
  <c r="B7" i="8"/>
  <c r="A7" i="8"/>
  <c r="AD6" i="8"/>
  <c r="AC6" i="8"/>
  <c r="AB6" i="8"/>
  <c r="V6" i="8"/>
  <c r="U6" i="8"/>
  <c r="T6" i="8"/>
  <c r="S6" i="8"/>
  <c r="R6" i="8"/>
  <c r="Q6" i="8"/>
  <c r="P6" i="8"/>
  <c r="O6" i="8"/>
  <c r="N6" i="8"/>
  <c r="M6" i="8"/>
  <c r="L6" i="8"/>
  <c r="K6" i="8"/>
  <c r="I6" i="8"/>
  <c r="H6" i="8"/>
  <c r="F6" i="8"/>
  <c r="E6" i="8"/>
  <c r="D6" i="8"/>
  <c r="C6" i="8"/>
  <c r="B6" i="8"/>
  <c r="A6" i="8"/>
  <c r="AD5" i="8"/>
  <c r="AC5" i="8"/>
  <c r="AB5" i="8"/>
  <c r="AA5" i="8"/>
  <c r="V5" i="8"/>
  <c r="U5" i="8"/>
  <c r="T5" i="8"/>
  <c r="S5" i="8"/>
  <c r="R5" i="8"/>
  <c r="Q5" i="8"/>
  <c r="P5" i="8"/>
  <c r="O5" i="8"/>
  <c r="N5" i="8"/>
  <c r="M5" i="8"/>
  <c r="L5" i="8"/>
  <c r="K5" i="8"/>
  <c r="I5" i="8"/>
  <c r="H5" i="8"/>
  <c r="F5" i="8"/>
  <c r="E5" i="8"/>
  <c r="D5" i="8"/>
  <c r="C5" i="8"/>
  <c r="B5" i="8"/>
  <c r="A5" i="8"/>
  <c r="AD4" i="8"/>
  <c r="AC4" i="8"/>
  <c r="AB4" i="8"/>
  <c r="X4" i="8"/>
  <c r="V4" i="8"/>
  <c r="U4" i="8"/>
  <c r="T4" i="8"/>
  <c r="S4" i="8"/>
  <c r="R4" i="8"/>
  <c r="Q4" i="8"/>
  <c r="P4" i="8"/>
  <c r="O4" i="8"/>
  <c r="N4" i="8"/>
  <c r="M4" i="8"/>
  <c r="L4" i="8"/>
  <c r="K4" i="8"/>
  <c r="I4" i="8"/>
  <c r="H4" i="8"/>
  <c r="F4" i="8"/>
  <c r="E4" i="8"/>
  <c r="D4" i="8"/>
  <c r="C4" i="8"/>
  <c r="B4" i="8"/>
  <c r="A4" i="8"/>
  <c r="AD3" i="8"/>
  <c r="AC3" i="8"/>
  <c r="AB3" i="8"/>
  <c r="V3" i="8"/>
  <c r="U3" i="8"/>
  <c r="T3" i="8"/>
  <c r="T20" i="8" s="1"/>
  <c r="S3" i="8"/>
  <c r="R3" i="8"/>
  <c r="Q3" i="8"/>
  <c r="P3" i="8"/>
  <c r="O3" i="8"/>
  <c r="N3" i="8"/>
  <c r="M3" i="8"/>
  <c r="L3" i="8"/>
  <c r="K3" i="8"/>
  <c r="I3" i="8"/>
  <c r="H3" i="8"/>
  <c r="F3" i="8"/>
  <c r="E3" i="8"/>
  <c r="D3" i="8"/>
  <c r="C3" i="8"/>
  <c r="B3" i="8"/>
  <c r="A3" i="8"/>
  <c r="AD2" i="8"/>
  <c r="AC2" i="8"/>
  <c r="AB2" i="8"/>
  <c r="Y2" i="8"/>
  <c r="V2" i="8"/>
  <c r="U2" i="8"/>
  <c r="T2" i="8"/>
  <c r="S2" i="8"/>
  <c r="R2" i="8"/>
  <c r="Q2" i="8"/>
  <c r="P2" i="8"/>
  <c r="O2" i="8"/>
  <c r="O20" i="8" s="1"/>
  <c r="D16" i="9" s="1"/>
  <c r="N2" i="8"/>
  <c r="M2" i="8"/>
  <c r="L2" i="8"/>
  <c r="K2" i="8"/>
  <c r="K21" i="8" s="1"/>
  <c r="J44" i="6" s="1"/>
  <c r="I2" i="8"/>
  <c r="H2" i="8"/>
  <c r="F2" i="8"/>
  <c r="E2" i="8"/>
  <c r="D2" i="8"/>
  <c r="C2" i="8"/>
  <c r="B2" i="8"/>
  <c r="A2" i="8"/>
  <c r="Z263" i="7"/>
  <c r="AA19" i="8" s="1"/>
  <c r="Y263" i="7"/>
  <c r="Z19" i="8" s="1"/>
  <c r="X263" i="7"/>
  <c r="Y19" i="8" s="1"/>
  <c r="W263" i="7"/>
  <c r="X19" i="8" s="1"/>
  <c r="V263" i="7"/>
  <c r="W19" i="8" s="1"/>
  <c r="G263" i="7"/>
  <c r="G19" i="8" s="1"/>
  <c r="Z262" i="7"/>
  <c r="AA18" i="8" s="1"/>
  <c r="Y262" i="7"/>
  <c r="X262" i="7"/>
  <c r="Y18" i="8" s="1"/>
  <c r="W262" i="7"/>
  <c r="X18" i="8" s="1"/>
  <c r="V262" i="7"/>
  <c r="W18" i="8" s="1"/>
  <c r="G262" i="7"/>
  <c r="G18" i="8" s="1"/>
  <c r="Z261" i="7"/>
  <c r="AA17" i="8" s="1"/>
  <c r="X261" i="7"/>
  <c r="Y17" i="8" s="1"/>
  <c r="W261" i="7"/>
  <c r="V261" i="7"/>
  <c r="W17" i="8" s="1"/>
  <c r="G261" i="7"/>
  <c r="G17" i="8" s="1"/>
  <c r="Z260" i="7"/>
  <c r="X260" i="7"/>
  <c r="Y16" i="8" s="1"/>
  <c r="W260" i="7"/>
  <c r="X16" i="8" s="1"/>
  <c r="V260" i="7"/>
  <c r="W16" i="8" s="1"/>
  <c r="G260" i="7"/>
  <c r="G16" i="8" s="1"/>
  <c r="Z259" i="7"/>
  <c r="AA15" i="8" s="1"/>
  <c r="Y259" i="7"/>
  <c r="Z15" i="8" s="1"/>
  <c r="X259" i="7"/>
  <c r="W259" i="7"/>
  <c r="V259" i="7"/>
  <c r="W15" i="8" s="1"/>
  <c r="G259" i="7"/>
  <c r="Z258" i="7"/>
  <c r="AA14" i="8" s="1"/>
  <c r="X258" i="7"/>
  <c r="Y14" i="8" s="1"/>
  <c r="W258" i="7"/>
  <c r="X14" i="8" s="1"/>
  <c r="V258" i="7"/>
  <c r="W14" i="8" s="1"/>
  <c r="G258" i="7"/>
  <c r="G14" i="8" s="1"/>
  <c r="Z257" i="7"/>
  <c r="X257" i="7"/>
  <c r="Y13" i="8" s="1"/>
  <c r="W257" i="7"/>
  <c r="V257" i="7"/>
  <c r="W13" i="8" s="1"/>
  <c r="G257" i="7"/>
  <c r="G13" i="8" s="1"/>
  <c r="Z256" i="7"/>
  <c r="AA12" i="8" s="1"/>
  <c r="X256" i="7"/>
  <c r="Y12" i="8" s="1"/>
  <c r="W256" i="7"/>
  <c r="Y256" i="7" s="1"/>
  <c r="Z12" i="8" s="1"/>
  <c r="V256" i="7"/>
  <c r="G256" i="7"/>
  <c r="Z255" i="7"/>
  <c r="AA11" i="8" s="1"/>
  <c r="Y255" i="7"/>
  <c r="Z11" i="8" s="1"/>
  <c r="X255" i="7"/>
  <c r="Y11" i="8" s="1"/>
  <c r="W255" i="7"/>
  <c r="X11" i="8" s="1"/>
  <c r="V255" i="7"/>
  <c r="W11" i="8" s="1"/>
  <c r="G255" i="7"/>
  <c r="G11" i="8" s="1"/>
  <c r="Z254" i="7"/>
  <c r="AA10" i="8" s="1"/>
  <c r="Y254" i="7"/>
  <c r="Z10" i="8" s="1"/>
  <c r="X254" i="7"/>
  <c r="Y10" i="8" s="1"/>
  <c r="W254" i="7"/>
  <c r="X10" i="8" s="1"/>
  <c r="V254" i="7"/>
  <c r="W10" i="8" s="1"/>
  <c r="G254" i="7"/>
  <c r="G10" i="8" s="1"/>
  <c r="Z253" i="7"/>
  <c r="AA9" i="8" s="1"/>
  <c r="X253" i="7"/>
  <c r="Y9" i="8" s="1"/>
  <c r="W253" i="7"/>
  <c r="V253" i="7"/>
  <c r="W9" i="8" s="1"/>
  <c r="I253" i="7"/>
  <c r="I9" i="8" s="1"/>
  <c r="G253" i="7"/>
  <c r="G9" i="8" s="1"/>
  <c r="Z252" i="7"/>
  <c r="Y252" i="7"/>
  <c r="Z8" i="8" s="1"/>
  <c r="X252" i="7"/>
  <c r="Y8" i="8" s="1"/>
  <c r="W252" i="7"/>
  <c r="X8" i="8" s="1"/>
  <c r="V252" i="7"/>
  <c r="W8" i="8" s="1"/>
  <c r="G252" i="7"/>
  <c r="G8" i="8" s="1"/>
  <c r="Z251" i="7"/>
  <c r="AA7" i="8" s="1"/>
  <c r="X251" i="7"/>
  <c r="W251" i="7"/>
  <c r="Y251" i="7" s="1"/>
  <c r="Z7" i="8" s="1"/>
  <c r="V251" i="7"/>
  <c r="W7" i="8" s="1"/>
  <c r="G251" i="7"/>
  <c r="G7" i="8" s="1"/>
  <c r="Z250" i="7"/>
  <c r="AA6" i="8" s="1"/>
  <c r="Y250" i="7"/>
  <c r="Z6" i="8" s="1"/>
  <c r="X250" i="7"/>
  <c r="Y6" i="8" s="1"/>
  <c r="W250" i="7"/>
  <c r="X6" i="8" s="1"/>
  <c r="V250" i="7"/>
  <c r="W6" i="8" s="1"/>
  <c r="G250" i="7"/>
  <c r="G6" i="8" s="1"/>
  <c r="Z249" i="7"/>
  <c r="X249" i="7"/>
  <c r="Y5" i="8" s="1"/>
  <c r="W249" i="7"/>
  <c r="V249" i="7"/>
  <c r="W5" i="8" s="1"/>
  <c r="G249" i="7"/>
  <c r="G5" i="8" s="1"/>
  <c r="Z248" i="7"/>
  <c r="AA4" i="8" s="1"/>
  <c r="Y248" i="7"/>
  <c r="Z4" i="8" s="1"/>
  <c r="X248" i="7"/>
  <c r="Y4" i="8" s="1"/>
  <c r="W248" i="7"/>
  <c r="V248" i="7"/>
  <c r="W4" i="8" s="1"/>
  <c r="G248" i="7"/>
  <c r="G4" i="8" s="1"/>
  <c r="Z247" i="7"/>
  <c r="AA3" i="8" s="1"/>
  <c r="X247" i="7"/>
  <c r="Y3" i="8" s="1"/>
  <c r="W247" i="7"/>
  <c r="Y247" i="7" s="1"/>
  <c r="Z3" i="8" s="1"/>
  <c r="V247" i="7"/>
  <c r="W3" i="8" s="1"/>
  <c r="G247" i="7"/>
  <c r="G3" i="8" s="1"/>
  <c r="Z246" i="7"/>
  <c r="AA2" i="8" s="1"/>
  <c r="Y246" i="7"/>
  <c r="Z2" i="8" s="1"/>
  <c r="X246" i="7"/>
  <c r="W246" i="7"/>
  <c r="X2" i="8" s="1"/>
  <c r="V246" i="7"/>
  <c r="W2" i="8" s="1"/>
  <c r="G246" i="7"/>
  <c r="G2" i="8" s="1"/>
  <c r="Z245" i="7"/>
  <c r="AA27" i="22" s="1"/>
  <c r="X245" i="7"/>
  <c r="Y27" i="22" s="1"/>
  <c r="W245" i="7"/>
  <c r="V245" i="7"/>
  <c r="W27" i="22" s="1"/>
  <c r="G245" i="7"/>
  <c r="G27" i="22" s="1"/>
  <c r="Z244" i="7"/>
  <c r="AA26" i="22" s="1"/>
  <c r="Y244" i="7"/>
  <c r="Z26" i="22" s="1"/>
  <c r="X244" i="7"/>
  <c r="Y26" i="22" s="1"/>
  <c r="W244" i="7"/>
  <c r="X26" i="22" s="1"/>
  <c r="V244" i="7"/>
  <c r="W26" i="22" s="1"/>
  <c r="G244" i="7"/>
  <c r="G26" i="22" s="1"/>
  <c r="Z243" i="7"/>
  <c r="AA25" i="22" s="1"/>
  <c r="X243" i="7"/>
  <c r="Y25" i="22" s="1"/>
  <c r="W243" i="7"/>
  <c r="X25" i="22" s="1"/>
  <c r="V243" i="7"/>
  <c r="W25" i="22" s="1"/>
  <c r="G243" i="7"/>
  <c r="G25" i="22" s="1"/>
  <c r="Z242" i="7"/>
  <c r="AA24" i="22" s="1"/>
  <c r="Y242" i="7"/>
  <c r="Z24" i="22" s="1"/>
  <c r="X242" i="7"/>
  <c r="Y24" i="22" s="1"/>
  <c r="W242" i="7"/>
  <c r="X24" i="22" s="1"/>
  <c r="V242" i="7"/>
  <c r="W24" i="22" s="1"/>
  <c r="G242" i="7"/>
  <c r="G24" i="22" s="1"/>
  <c r="Z241" i="7"/>
  <c r="AA23" i="22" s="1"/>
  <c r="X241" i="7"/>
  <c r="Y23" i="22" s="1"/>
  <c r="W241" i="7"/>
  <c r="V241" i="7"/>
  <c r="W23" i="22" s="1"/>
  <c r="G241" i="7"/>
  <c r="G23" i="22" s="1"/>
  <c r="Z240" i="7"/>
  <c r="AA22" i="22" s="1"/>
  <c r="Y240" i="7"/>
  <c r="Z22" i="22" s="1"/>
  <c r="X240" i="7"/>
  <c r="Y22" i="22" s="1"/>
  <c r="W240" i="7"/>
  <c r="X22" i="22" s="1"/>
  <c r="V240" i="7"/>
  <c r="W22" i="22" s="1"/>
  <c r="G240" i="7"/>
  <c r="G22" i="22" s="1"/>
  <c r="Z239" i="7"/>
  <c r="AA21" i="22" s="1"/>
  <c r="X239" i="7"/>
  <c r="Y21" i="22" s="1"/>
  <c r="W239" i="7"/>
  <c r="X21" i="22" s="1"/>
  <c r="V239" i="7"/>
  <c r="W21" i="22" s="1"/>
  <c r="G239" i="7"/>
  <c r="G21" i="22" s="1"/>
  <c r="Z238" i="7"/>
  <c r="AA20" i="22" s="1"/>
  <c r="Y238" i="7"/>
  <c r="Z20" i="22" s="1"/>
  <c r="X238" i="7"/>
  <c r="Y20" i="22" s="1"/>
  <c r="W238" i="7"/>
  <c r="X20" i="22" s="1"/>
  <c r="V238" i="7"/>
  <c r="W20" i="22" s="1"/>
  <c r="I238" i="7"/>
  <c r="I20" i="22" s="1"/>
  <c r="G238" i="7"/>
  <c r="G20" i="22" s="1"/>
  <c r="Z237" i="7"/>
  <c r="AA19" i="22" s="1"/>
  <c r="Y237" i="7"/>
  <c r="Z19" i="22" s="1"/>
  <c r="X237" i="7"/>
  <c r="Y19" i="22" s="1"/>
  <c r="W237" i="7"/>
  <c r="X19" i="22" s="1"/>
  <c r="V237" i="7"/>
  <c r="W19" i="22" s="1"/>
  <c r="G237" i="7"/>
  <c r="G19" i="22" s="1"/>
  <c r="Z236" i="7"/>
  <c r="AA18" i="22" s="1"/>
  <c r="X236" i="7"/>
  <c r="Y18" i="22" s="1"/>
  <c r="W236" i="7"/>
  <c r="V236" i="7"/>
  <c r="W18" i="22" s="1"/>
  <c r="G236" i="7"/>
  <c r="G18" i="22" s="1"/>
  <c r="Z235" i="7"/>
  <c r="AA17" i="22" s="1"/>
  <c r="X235" i="7"/>
  <c r="Y17" i="22" s="1"/>
  <c r="W235" i="7"/>
  <c r="X17" i="22" s="1"/>
  <c r="V235" i="7"/>
  <c r="W17" i="22" s="1"/>
  <c r="G235" i="7"/>
  <c r="G17" i="22" s="1"/>
  <c r="Z234" i="7"/>
  <c r="AA16" i="22" s="1"/>
  <c r="Y234" i="7"/>
  <c r="Z16" i="22" s="1"/>
  <c r="X234" i="7"/>
  <c r="Y16" i="22" s="1"/>
  <c r="W234" i="7"/>
  <c r="X16" i="22" s="1"/>
  <c r="V234" i="7"/>
  <c r="W16" i="22" s="1"/>
  <c r="G234" i="7"/>
  <c r="G16" i="22" s="1"/>
  <c r="Z233" i="7"/>
  <c r="AA15" i="22" s="1"/>
  <c r="X233" i="7"/>
  <c r="Y15" i="22" s="1"/>
  <c r="W233" i="7"/>
  <c r="X15" i="22" s="1"/>
  <c r="V233" i="7"/>
  <c r="W15" i="22" s="1"/>
  <c r="G233" i="7"/>
  <c r="G15" i="22" s="1"/>
  <c r="Z232" i="7"/>
  <c r="AA14" i="22" s="1"/>
  <c r="X232" i="7"/>
  <c r="Y14" i="22" s="1"/>
  <c r="W232" i="7"/>
  <c r="V232" i="7"/>
  <c r="W14" i="22" s="1"/>
  <c r="G232" i="7"/>
  <c r="G14" i="22" s="1"/>
  <c r="Z231" i="7"/>
  <c r="AA13" i="22" s="1"/>
  <c r="X231" i="7"/>
  <c r="Y13" i="22" s="1"/>
  <c r="W231" i="7"/>
  <c r="X13" i="22" s="1"/>
  <c r="V231" i="7"/>
  <c r="W13" i="22" s="1"/>
  <c r="G231" i="7"/>
  <c r="G13" i="22" s="1"/>
  <c r="Z230" i="7"/>
  <c r="AA12" i="22" s="1"/>
  <c r="Y230" i="7"/>
  <c r="Z12" i="22" s="1"/>
  <c r="X230" i="7"/>
  <c r="Y12" i="22" s="1"/>
  <c r="W230" i="7"/>
  <c r="X12" i="22" s="1"/>
  <c r="V230" i="7"/>
  <c r="W12" i="22" s="1"/>
  <c r="G230" i="7"/>
  <c r="G12" i="22" s="1"/>
  <c r="Z229" i="7"/>
  <c r="AA11" i="22" s="1"/>
  <c r="Y229" i="7"/>
  <c r="Z11" i="22" s="1"/>
  <c r="X229" i="7"/>
  <c r="Y11" i="22" s="1"/>
  <c r="W229" i="7"/>
  <c r="X11" i="22" s="1"/>
  <c r="V229" i="7"/>
  <c r="W11" i="22" s="1"/>
  <c r="G229" i="7"/>
  <c r="G11" i="22" s="1"/>
  <c r="Z228" i="7"/>
  <c r="AA10" i="22" s="1"/>
  <c r="X228" i="7"/>
  <c r="Y10" i="22" s="1"/>
  <c r="W228" i="7"/>
  <c r="V228" i="7"/>
  <c r="W10" i="22" s="1"/>
  <c r="G228" i="7"/>
  <c r="G10" i="22" s="1"/>
  <c r="Z227" i="7"/>
  <c r="AA9" i="22" s="1"/>
  <c r="X227" i="7"/>
  <c r="Y9" i="22" s="1"/>
  <c r="W227" i="7"/>
  <c r="X9" i="22" s="1"/>
  <c r="V227" i="7"/>
  <c r="W9" i="22" s="1"/>
  <c r="G227" i="7"/>
  <c r="G9" i="22" s="1"/>
  <c r="Z226" i="7"/>
  <c r="AA8" i="22" s="1"/>
  <c r="Y226" i="7"/>
  <c r="Z8" i="22" s="1"/>
  <c r="X226" i="7"/>
  <c r="Y8" i="22" s="1"/>
  <c r="W226" i="7"/>
  <c r="X8" i="22" s="1"/>
  <c r="V226" i="7"/>
  <c r="W8" i="22" s="1"/>
  <c r="G226" i="7"/>
  <c r="G8" i="22" s="1"/>
  <c r="Z225" i="7"/>
  <c r="AA7" i="22" s="1"/>
  <c r="X225" i="7"/>
  <c r="Y7" i="22" s="1"/>
  <c r="W225" i="7"/>
  <c r="X7" i="22" s="1"/>
  <c r="V225" i="7"/>
  <c r="W7" i="22" s="1"/>
  <c r="G225" i="7"/>
  <c r="G7" i="22" s="1"/>
  <c r="Z224" i="7"/>
  <c r="AA6" i="22" s="1"/>
  <c r="X224" i="7"/>
  <c r="Y6" i="22" s="1"/>
  <c r="W224" i="7"/>
  <c r="V224" i="7"/>
  <c r="W6" i="22" s="1"/>
  <c r="G224" i="7"/>
  <c r="G6" i="22" s="1"/>
  <c r="Z223" i="7"/>
  <c r="AA5" i="22" s="1"/>
  <c r="X223" i="7"/>
  <c r="Y5" i="22" s="1"/>
  <c r="W223" i="7"/>
  <c r="X5" i="22" s="1"/>
  <c r="V223" i="7"/>
  <c r="W5" i="22" s="1"/>
  <c r="G223" i="7"/>
  <c r="G5" i="22" s="1"/>
  <c r="Z222" i="7"/>
  <c r="AA4" i="22" s="1"/>
  <c r="Y222" i="7"/>
  <c r="Z4" i="22" s="1"/>
  <c r="X222" i="7"/>
  <c r="Y4" i="22" s="1"/>
  <c r="W222" i="7"/>
  <c r="X4" i="22" s="1"/>
  <c r="V222" i="7"/>
  <c r="W4" i="22" s="1"/>
  <c r="G222" i="7"/>
  <c r="G4" i="22" s="1"/>
  <c r="Z221" i="7"/>
  <c r="AA3" i="22" s="1"/>
  <c r="Y221" i="7"/>
  <c r="Z3" i="22" s="1"/>
  <c r="X221" i="7"/>
  <c r="Y3" i="22" s="1"/>
  <c r="W221" i="7"/>
  <c r="X3" i="22" s="1"/>
  <c r="V221" i="7"/>
  <c r="W3" i="22" s="1"/>
  <c r="G221" i="7"/>
  <c r="G3" i="22" s="1"/>
  <c r="Z220" i="7"/>
  <c r="AA2" i="22" s="1"/>
  <c r="X220" i="7"/>
  <c r="Y2" i="22" s="1"/>
  <c r="W220" i="7"/>
  <c r="V220" i="7"/>
  <c r="W2" i="22" s="1"/>
  <c r="G220" i="7"/>
  <c r="G2" i="22" s="1"/>
  <c r="Z219" i="7"/>
  <c r="AA21" i="21" s="1"/>
  <c r="X219" i="7"/>
  <c r="Y21" i="21" s="1"/>
  <c r="W219" i="7"/>
  <c r="X21" i="21" s="1"/>
  <c r="V219" i="7"/>
  <c r="W21" i="21" s="1"/>
  <c r="G219" i="7"/>
  <c r="G21" i="21" s="1"/>
  <c r="Z218" i="7"/>
  <c r="AA20" i="21" s="1"/>
  <c r="Y218" i="7"/>
  <c r="Z20" i="21" s="1"/>
  <c r="X218" i="7"/>
  <c r="Y20" i="21" s="1"/>
  <c r="W218" i="7"/>
  <c r="X20" i="21" s="1"/>
  <c r="V218" i="7"/>
  <c r="W20" i="21" s="1"/>
  <c r="G218" i="7"/>
  <c r="G20" i="21" s="1"/>
  <c r="Z217" i="7"/>
  <c r="AA19" i="21" s="1"/>
  <c r="X217" i="7"/>
  <c r="Y19" i="21" s="1"/>
  <c r="W217" i="7"/>
  <c r="X19" i="21" s="1"/>
  <c r="V217" i="7"/>
  <c r="W19" i="21" s="1"/>
  <c r="G217" i="7"/>
  <c r="G19" i="21" s="1"/>
  <c r="Z216" i="7"/>
  <c r="AA18" i="21" s="1"/>
  <c r="X216" i="7"/>
  <c r="Y18" i="21" s="1"/>
  <c r="W216" i="7"/>
  <c r="V216" i="7"/>
  <c r="W18" i="21" s="1"/>
  <c r="I216" i="7"/>
  <c r="I18" i="21" s="1"/>
  <c r="G216" i="7"/>
  <c r="G18" i="21" s="1"/>
  <c r="Z215" i="7"/>
  <c r="AA17" i="21" s="1"/>
  <c r="X215" i="7"/>
  <c r="Y17" i="21" s="1"/>
  <c r="W215" i="7"/>
  <c r="X17" i="21" s="1"/>
  <c r="V215" i="7"/>
  <c r="W17" i="21" s="1"/>
  <c r="G215" i="7"/>
  <c r="G17" i="21" s="1"/>
  <c r="Z214" i="7"/>
  <c r="AA16" i="21" s="1"/>
  <c r="X214" i="7"/>
  <c r="Y16" i="21" s="1"/>
  <c r="W214" i="7"/>
  <c r="X16" i="21" s="1"/>
  <c r="V214" i="7"/>
  <c r="W16" i="21" s="1"/>
  <c r="G214" i="7"/>
  <c r="G16" i="21" s="1"/>
  <c r="Z213" i="7"/>
  <c r="AA15" i="21" s="1"/>
  <c r="Y213" i="7"/>
  <c r="Z15" i="21" s="1"/>
  <c r="X213" i="7"/>
  <c r="Y15" i="21" s="1"/>
  <c r="W213" i="7"/>
  <c r="X15" i="21" s="1"/>
  <c r="V213" i="7"/>
  <c r="W15" i="21" s="1"/>
  <c r="G213" i="7"/>
  <c r="G15" i="21" s="1"/>
  <c r="Z212" i="7"/>
  <c r="AA14" i="21" s="1"/>
  <c r="X212" i="7"/>
  <c r="Y14" i="21" s="1"/>
  <c r="W212" i="7"/>
  <c r="V212" i="7"/>
  <c r="W14" i="21" s="1"/>
  <c r="G212" i="7"/>
  <c r="G14" i="21" s="1"/>
  <c r="Z211" i="7"/>
  <c r="AA13" i="21" s="1"/>
  <c r="X211" i="7"/>
  <c r="Y13" i="21" s="1"/>
  <c r="W211" i="7"/>
  <c r="X13" i="21" s="1"/>
  <c r="V211" i="7"/>
  <c r="W13" i="21" s="1"/>
  <c r="G211" i="7"/>
  <c r="G13" i="21" s="1"/>
  <c r="Z210" i="7"/>
  <c r="AA12" i="21" s="1"/>
  <c r="X210" i="7"/>
  <c r="Y12" i="21" s="1"/>
  <c r="W210" i="7"/>
  <c r="X12" i="21" s="1"/>
  <c r="V210" i="7"/>
  <c r="W12" i="21" s="1"/>
  <c r="G210" i="7"/>
  <c r="G12" i="21" s="1"/>
  <c r="Z209" i="7"/>
  <c r="AA11" i="21" s="1"/>
  <c r="Y209" i="7"/>
  <c r="Z11" i="21" s="1"/>
  <c r="X209" i="7"/>
  <c r="Y11" i="21" s="1"/>
  <c r="W209" i="7"/>
  <c r="X11" i="21" s="1"/>
  <c r="V209" i="7"/>
  <c r="W11" i="21" s="1"/>
  <c r="G209" i="7"/>
  <c r="G11" i="21" s="1"/>
  <c r="Z208" i="7"/>
  <c r="AA10" i="21" s="1"/>
  <c r="X208" i="7"/>
  <c r="Y10" i="21" s="1"/>
  <c r="W208" i="7"/>
  <c r="V208" i="7"/>
  <c r="W10" i="21" s="1"/>
  <c r="G208" i="7"/>
  <c r="G10" i="21" s="1"/>
  <c r="Z207" i="7"/>
  <c r="AA9" i="21" s="1"/>
  <c r="X207" i="7"/>
  <c r="Y9" i="21" s="1"/>
  <c r="W207" i="7"/>
  <c r="X9" i="21" s="1"/>
  <c r="V207" i="7"/>
  <c r="W9" i="21" s="1"/>
  <c r="G207" i="7"/>
  <c r="G9" i="21" s="1"/>
  <c r="Z206" i="7"/>
  <c r="AA8" i="21" s="1"/>
  <c r="X206" i="7"/>
  <c r="Y8" i="21" s="1"/>
  <c r="W206" i="7"/>
  <c r="X8" i="21" s="1"/>
  <c r="V206" i="7"/>
  <c r="W8" i="21" s="1"/>
  <c r="G206" i="7"/>
  <c r="G8" i="21" s="1"/>
  <c r="Z205" i="7"/>
  <c r="AA7" i="21" s="1"/>
  <c r="Y205" i="7"/>
  <c r="Z7" i="21" s="1"/>
  <c r="X205" i="7"/>
  <c r="Y7" i="21" s="1"/>
  <c r="W205" i="7"/>
  <c r="X7" i="21" s="1"/>
  <c r="V205" i="7"/>
  <c r="W7" i="21" s="1"/>
  <c r="G205" i="7"/>
  <c r="G7" i="21" s="1"/>
  <c r="Z204" i="7"/>
  <c r="AA6" i="21" s="1"/>
  <c r="X204" i="7"/>
  <c r="Y6" i="21" s="1"/>
  <c r="W204" i="7"/>
  <c r="V204" i="7"/>
  <c r="W6" i="21" s="1"/>
  <c r="G204" i="7"/>
  <c r="G6" i="21" s="1"/>
  <c r="Z203" i="7"/>
  <c r="AA5" i="21" s="1"/>
  <c r="X203" i="7"/>
  <c r="Y5" i="21" s="1"/>
  <c r="W203" i="7"/>
  <c r="X5" i="21" s="1"/>
  <c r="V203" i="7"/>
  <c r="W5" i="21" s="1"/>
  <c r="G203" i="7"/>
  <c r="G5" i="21" s="1"/>
  <c r="Z202" i="7"/>
  <c r="AA4" i="21" s="1"/>
  <c r="X202" i="7"/>
  <c r="Y4" i="21" s="1"/>
  <c r="W202" i="7"/>
  <c r="X4" i="21" s="1"/>
  <c r="V202" i="7"/>
  <c r="W4" i="21" s="1"/>
  <c r="G202" i="7"/>
  <c r="G4" i="21" s="1"/>
  <c r="Z201" i="7"/>
  <c r="AA3" i="21" s="1"/>
  <c r="Y201" i="7"/>
  <c r="Z3" i="21" s="1"/>
  <c r="X201" i="7"/>
  <c r="Y3" i="21" s="1"/>
  <c r="W201" i="7"/>
  <c r="X3" i="21" s="1"/>
  <c r="V201" i="7"/>
  <c r="W3" i="21" s="1"/>
  <c r="G201" i="7"/>
  <c r="G3" i="21" s="1"/>
  <c r="Z200" i="7"/>
  <c r="AA2" i="21" s="1"/>
  <c r="X200" i="7"/>
  <c r="Y2" i="21" s="1"/>
  <c r="W200" i="7"/>
  <c r="V200" i="7"/>
  <c r="W2" i="21" s="1"/>
  <c r="G200" i="7"/>
  <c r="G2" i="21" s="1"/>
  <c r="Z199" i="7"/>
  <c r="AA24" i="20" s="1"/>
  <c r="X199" i="7"/>
  <c r="Y24" i="20" s="1"/>
  <c r="W199" i="7"/>
  <c r="X24" i="20" s="1"/>
  <c r="V199" i="7"/>
  <c r="W24" i="20" s="1"/>
  <c r="I199" i="7"/>
  <c r="I24" i="20" s="1"/>
  <c r="G199" i="7"/>
  <c r="G24" i="20" s="1"/>
  <c r="Z198" i="7"/>
  <c r="AA23" i="20" s="1"/>
  <c r="X198" i="7"/>
  <c r="Y23" i="20" s="1"/>
  <c r="W198" i="7"/>
  <c r="X23" i="20" s="1"/>
  <c r="V198" i="7"/>
  <c r="W23" i="20" s="1"/>
  <c r="G198" i="7"/>
  <c r="G23" i="20" s="1"/>
  <c r="Z197" i="7"/>
  <c r="AA22" i="20" s="1"/>
  <c r="Y197" i="7"/>
  <c r="Z22" i="20" s="1"/>
  <c r="X197" i="7"/>
  <c r="Y22" i="20" s="1"/>
  <c r="W197" i="7"/>
  <c r="X22" i="20" s="1"/>
  <c r="V197" i="7"/>
  <c r="W22" i="20" s="1"/>
  <c r="G197" i="7"/>
  <c r="G22" i="20" s="1"/>
  <c r="Z196" i="7"/>
  <c r="AA21" i="20" s="1"/>
  <c r="X196" i="7"/>
  <c r="Y21" i="20" s="1"/>
  <c r="W196" i="7"/>
  <c r="X21" i="20" s="1"/>
  <c r="V196" i="7"/>
  <c r="W21" i="20" s="1"/>
  <c r="G196" i="7"/>
  <c r="G21" i="20" s="1"/>
  <c r="Z195" i="7"/>
  <c r="AA20" i="20" s="1"/>
  <c r="X195" i="7"/>
  <c r="Y20" i="20" s="1"/>
  <c r="W195" i="7"/>
  <c r="V195" i="7"/>
  <c r="W20" i="20" s="1"/>
  <c r="G195" i="7"/>
  <c r="G20" i="20" s="1"/>
  <c r="Z194" i="7"/>
  <c r="AA19" i="20" s="1"/>
  <c r="X194" i="7"/>
  <c r="Y19" i="20" s="1"/>
  <c r="W194" i="7"/>
  <c r="X19" i="20" s="1"/>
  <c r="V194" i="7"/>
  <c r="W19" i="20" s="1"/>
  <c r="G194" i="7"/>
  <c r="G19" i="20" s="1"/>
  <c r="Z193" i="7"/>
  <c r="AA18" i="20" s="1"/>
  <c r="Y193" i="7"/>
  <c r="Z18" i="20" s="1"/>
  <c r="X193" i="7"/>
  <c r="Y18" i="20" s="1"/>
  <c r="W193" i="7"/>
  <c r="X18" i="20" s="1"/>
  <c r="V193" i="7"/>
  <c r="W18" i="20" s="1"/>
  <c r="G193" i="7"/>
  <c r="G18" i="20" s="1"/>
  <c r="Z192" i="7"/>
  <c r="AA17" i="20" s="1"/>
  <c r="Y192" i="7"/>
  <c r="Z17" i="20" s="1"/>
  <c r="X192" i="7"/>
  <c r="Y17" i="20" s="1"/>
  <c r="W192" i="7"/>
  <c r="X17" i="20" s="1"/>
  <c r="V192" i="7"/>
  <c r="W17" i="20" s="1"/>
  <c r="G192" i="7"/>
  <c r="G17" i="20" s="1"/>
  <c r="Z191" i="7"/>
  <c r="AA16" i="20" s="1"/>
  <c r="X191" i="7"/>
  <c r="Y16" i="20" s="1"/>
  <c r="W191" i="7"/>
  <c r="V191" i="7"/>
  <c r="W16" i="20" s="1"/>
  <c r="G191" i="7"/>
  <c r="G16" i="20" s="1"/>
  <c r="Z190" i="7"/>
  <c r="AA15" i="20" s="1"/>
  <c r="X190" i="7"/>
  <c r="Y15" i="20" s="1"/>
  <c r="W190" i="7"/>
  <c r="X15" i="20" s="1"/>
  <c r="V190" i="7"/>
  <c r="W15" i="20" s="1"/>
  <c r="G190" i="7"/>
  <c r="G15" i="20" s="1"/>
  <c r="Z189" i="7"/>
  <c r="AA14" i="20" s="1"/>
  <c r="Y189" i="7"/>
  <c r="Z14" i="20" s="1"/>
  <c r="X189" i="7"/>
  <c r="Y14" i="20" s="1"/>
  <c r="W189" i="7"/>
  <c r="X14" i="20" s="1"/>
  <c r="V189" i="7"/>
  <c r="W14" i="20" s="1"/>
  <c r="G189" i="7"/>
  <c r="G14" i="20" s="1"/>
  <c r="Z188" i="7"/>
  <c r="AA13" i="20" s="1"/>
  <c r="Y188" i="7"/>
  <c r="Z13" i="20" s="1"/>
  <c r="X188" i="7"/>
  <c r="Y13" i="20" s="1"/>
  <c r="W188" i="7"/>
  <c r="X13" i="20" s="1"/>
  <c r="V188" i="7"/>
  <c r="W13" i="20" s="1"/>
  <c r="G188" i="7"/>
  <c r="G13" i="20" s="1"/>
  <c r="Z187" i="7"/>
  <c r="AA12" i="20" s="1"/>
  <c r="X187" i="7"/>
  <c r="Y12" i="20" s="1"/>
  <c r="W187" i="7"/>
  <c r="V187" i="7"/>
  <c r="W12" i="20" s="1"/>
  <c r="G187" i="7"/>
  <c r="G12" i="20" s="1"/>
  <c r="Z186" i="7"/>
  <c r="AA11" i="20" s="1"/>
  <c r="X186" i="7"/>
  <c r="Y11" i="20" s="1"/>
  <c r="W186" i="7"/>
  <c r="X11" i="20" s="1"/>
  <c r="V186" i="7"/>
  <c r="W11" i="20" s="1"/>
  <c r="G186" i="7"/>
  <c r="G11" i="20" s="1"/>
  <c r="Z185" i="7"/>
  <c r="AA10" i="20" s="1"/>
  <c r="Y185" i="7"/>
  <c r="Z10" i="20" s="1"/>
  <c r="X185" i="7"/>
  <c r="Y10" i="20" s="1"/>
  <c r="W185" i="7"/>
  <c r="X10" i="20" s="1"/>
  <c r="V185" i="7"/>
  <c r="W10" i="20" s="1"/>
  <c r="G185" i="7"/>
  <c r="G10" i="20" s="1"/>
  <c r="Z184" i="7"/>
  <c r="AA9" i="20" s="1"/>
  <c r="Y184" i="7"/>
  <c r="Z9" i="20" s="1"/>
  <c r="X184" i="7"/>
  <c r="Y9" i="20" s="1"/>
  <c r="W184" i="7"/>
  <c r="X9" i="20" s="1"/>
  <c r="V184" i="7"/>
  <c r="W9" i="20" s="1"/>
  <c r="G184" i="7"/>
  <c r="G9" i="20" s="1"/>
  <c r="Z183" i="7"/>
  <c r="AA8" i="20" s="1"/>
  <c r="X183" i="7"/>
  <c r="Y8" i="20" s="1"/>
  <c r="W183" i="7"/>
  <c r="V183" i="7"/>
  <c r="W8" i="20" s="1"/>
  <c r="G183" i="7"/>
  <c r="G8" i="20" s="1"/>
  <c r="Z182" i="7"/>
  <c r="AA7" i="20" s="1"/>
  <c r="X182" i="7"/>
  <c r="Y7" i="20" s="1"/>
  <c r="W182" i="7"/>
  <c r="X7" i="20" s="1"/>
  <c r="V182" i="7"/>
  <c r="W7" i="20" s="1"/>
  <c r="G182" i="7"/>
  <c r="G7" i="20" s="1"/>
  <c r="Z181" i="7"/>
  <c r="AA6" i="20" s="1"/>
  <c r="Y181" i="7"/>
  <c r="Z6" i="20" s="1"/>
  <c r="X181" i="7"/>
  <c r="Y6" i="20" s="1"/>
  <c r="W181" i="7"/>
  <c r="X6" i="20" s="1"/>
  <c r="V181" i="7"/>
  <c r="W6" i="20" s="1"/>
  <c r="G181" i="7"/>
  <c r="G6" i="20" s="1"/>
  <c r="Z180" i="7"/>
  <c r="AA5" i="20" s="1"/>
  <c r="X180" i="7"/>
  <c r="Y5" i="20" s="1"/>
  <c r="W180" i="7"/>
  <c r="X5" i="20" s="1"/>
  <c r="V180" i="7"/>
  <c r="W5" i="20" s="1"/>
  <c r="G180" i="7"/>
  <c r="G5" i="20" s="1"/>
  <c r="Z179" i="7"/>
  <c r="AA4" i="20" s="1"/>
  <c r="X179" i="7"/>
  <c r="Y4" i="20" s="1"/>
  <c r="W179" i="7"/>
  <c r="V179" i="7"/>
  <c r="W4" i="20" s="1"/>
  <c r="G179" i="7"/>
  <c r="G4" i="20" s="1"/>
  <c r="Z178" i="7"/>
  <c r="AA3" i="20" s="1"/>
  <c r="X178" i="7"/>
  <c r="Y3" i="20" s="1"/>
  <c r="W178" i="7"/>
  <c r="X3" i="20" s="1"/>
  <c r="V178" i="7"/>
  <c r="W3" i="20" s="1"/>
  <c r="G178" i="7"/>
  <c r="G3" i="20" s="1"/>
  <c r="Z177" i="7"/>
  <c r="AA2" i="20" s="1"/>
  <c r="Y177" i="7"/>
  <c r="Z2" i="20" s="1"/>
  <c r="X177" i="7"/>
  <c r="Y2" i="20" s="1"/>
  <c r="W177" i="7"/>
  <c r="X2" i="20" s="1"/>
  <c r="V177" i="7"/>
  <c r="W2" i="20" s="1"/>
  <c r="G177" i="7"/>
  <c r="G2" i="20" s="1"/>
  <c r="Z176" i="7"/>
  <c r="AA14" i="19" s="1"/>
  <c r="Y176" i="7"/>
  <c r="Z14" i="19" s="1"/>
  <c r="X176" i="7"/>
  <c r="Y14" i="19" s="1"/>
  <c r="W176" i="7"/>
  <c r="X14" i="19" s="1"/>
  <c r="V176" i="7"/>
  <c r="W14" i="19" s="1"/>
  <c r="G176" i="7"/>
  <c r="G14" i="19" s="1"/>
  <c r="Z175" i="7"/>
  <c r="AA13" i="19" s="1"/>
  <c r="X175" i="7"/>
  <c r="Y13" i="19" s="1"/>
  <c r="W175" i="7"/>
  <c r="V175" i="7"/>
  <c r="W13" i="19" s="1"/>
  <c r="G175" i="7"/>
  <c r="G13" i="19" s="1"/>
  <c r="Z174" i="7"/>
  <c r="AA12" i="19" s="1"/>
  <c r="X174" i="7"/>
  <c r="Y12" i="19" s="1"/>
  <c r="W174" i="7"/>
  <c r="X12" i="19" s="1"/>
  <c r="V174" i="7"/>
  <c r="W12" i="19" s="1"/>
  <c r="G174" i="7"/>
  <c r="G12" i="19" s="1"/>
  <c r="Z173" i="7"/>
  <c r="AA11" i="19" s="1"/>
  <c r="Y173" i="7"/>
  <c r="Z11" i="19" s="1"/>
  <c r="X173" i="7"/>
  <c r="Y11" i="19" s="1"/>
  <c r="W173" i="7"/>
  <c r="X11" i="19" s="1"/>
  <c r="V173" i="7"/>
  <c r="W11" i="19" s="1"/>
  <c r="I173" i="7"/>
  <c r="I11" i="19" s="1"/>
  <c r="G173" i="7"/>
  <c r="G11" i="19" s="1"/>
  <c r="Z172" i="7"/>
  <c r="AA10" i="19" s="1"/>
  <c r="Y172" i="7"/>
  <c r="Z10" i="19" s="1"/>
  <c r="X172" i="7"/>
  <c r="Y10" i="19" s="1"/>
  <c r="W172" i="7"/>
  <c r="X10" i="19" s="1"/>
  <c r="V172" i="7"/>
  <c r="W10" i="19" s="1"/>
  <c r="G172" i="7"/>
  <c r="G10" i="19" s="1"/>
  <c r="Z171" i="7"/>
  <c r="AA9" i="19" s="1"/>
  <c r="X171" i="7"/>
  <c r="Y9" i="19" s="1"/>
  <c r="W171" i="7"/>
  <c r="V171" i="7"/>
  <c r="W9" i="19" s="1"/>
  <c r="G171" i="7"/>
  <c r="G9" i="19" s="1"/>
  <c r="Z170" i="7"/>
  <c r="AA8" i="19" s="1"/>
  <c r="X170" i="7"/>
  <c r="Y8" i="19" s="1"/>
  <c r="W170" i="7"/>
  <c r="X8" i="19" s="1"/>
  <c r="V170" i="7"/>
  <c r="W8" i="19" s="1"/>
  <c r="G170" i="7"/>
  <c r="G8" i="19" s="1"/>
  <c r="Z169" i="7"/>
  <c r="AA7" i="19" s="1"/>
  <c r="X169" i="7"/>
  <c r="Y7" i="19" s="1"/>
  <c r="W169" i="7"/>
  <c r="X7" i="19" s="1"/>
  <c r="V169" i="7"/>
  <c r="W7" i="19" s="1"/>
  <c r="G169" i="7"/>
  <c r="G7" i="19" s="1"/>
  <c r="Z168" i="7"/>
  <c r="AA6" i="19" s="1"/>
  <c r="Y168" i="7"/>
  <c r="Z6" i="19" s="1"/>
  <c r="X168" i="7"/>
  <c r="Y6" i="19" s="1"/>
  <c r="W168" i="7"/>
  <c r="X6" i="19" s="1"/>
  <c r="V168" i="7"/>
  <c r="W6" i="19" s="1"/>
  <c r="G168" i="7"/>
  <c r="G6" i="19" s="1"/>
  <c r="Z167" i="7"/>
  <c r="AA5" i="19" s="1"/>
  <c r="X167" i="7"/>
  <c r="Y5" i="19" s="1"/>
  <c r="W167" i="7"/>
  <c r="V167" i="7"/>
  <c r="W5" i="19" s="1"/>
  <c r="G167" i="7"/>
  <c r="G5" i="19" s="1"/>
  <c r="Z166" i="7"/>
  <c r="AA4" i="19" s="1"/>
  <c r="X166" i="7"/>
  <c r="Y4" i="19" s="1"/>
  <c r="W166" i="7"/>
  <c r="X4" i="19" s="1"/>
  <c r="V166" i="7"/>
  <c r="W4" i="19" s="1"/>
  <c r="G166" i="7"/>
  <c r="G4" i="19" s="1"/>
  <c r="Z165" i="7"/>
  <c r="AA3" i="19" s="1"/>
  <c r="X165" i="7"/>
  <c r="Y3" i="19" s="1"/>
  <c r="W165" i="7"/>
  <c r="X3" i="19" s="1"/>
  <c r="V165" i="7"/>
  <c r="W3" i="19" s="1"/>
  <c r="G165" i="7"/>
  <c r="G3" i="19" s="1"/>
  <c r="Z164" i="7"/>
  <c r="AA2" i="19" s="1"/>
  <c r="Y164" i="7"/>
  <c r="Z2" i="19" s="1"/>
  <c r="X164" i="7"/>
  <c r="Y2" i="19" s="1"/>
  <c r="W164" i="7"/>
  <c r="X2" i="19" s="1"/>
  <c r="V164" i="7"/>
  <c r="W2" i="19" s="1"/>
  <c r="G164" i="7"/>
  <c r="G2" i="19" s="1"/>
  <c r="Z163" i="7"/>
  <c r="AA10" i="18" s="1"/>
  <c r="X163" i="7"/>
  <c r="Y10" i="18" s="1"/>
  <c r="W163" i="7"/>
  <c r="V163" i="7"/>
  <c r="W10" i="18" s="1"/>
  <c r="G163" i="7"/>
  <c r="G10" i="18" s="1"/>
  <c r="Z162" i="7"/>
  <c r="AA9" i="18" s="1"/>
  <c r="X162" i="7"/>
  <c r="Y9" i="18" s="1"/>
  <c r="W162" i="7"/>
  <c r="X9" i="18" s="1"/>
  <c r="V162" i="7"/>
  <c r="W9" i="18" s="1"/>
  <c r="G162" i="7"/>
  <c r="G9" i="18" s="1"/>
  <c r="Z161" i="7"/>
  <c r="AA8" i="18" s="1"/>
  <c r="X161" i="7"/>
  <c r="Y8" i="18" s="1"/>
  <c r="W161" i="7"/>
  <c r="X8" i="18" s="1"/>
  <c r="V161" i="7"/>
  <c r="W8" i="18" s="1"/>
  <c r="G161" i="7"/>
  <c r="G8" i="18" s="1"/>
  <c r="Z160" i="7"/>
  <c r="AA7" i="18" s="1"/>
  <c r="Y160" i="7"/>
  <c r="Z7" i="18" s="1"/>
  <c r="X160" i="7"/>
  <c r="Y7" i="18" s="1"/>
  <c r="W160" i="7"/>
  <c r="X7" i="18" s="1"/>
  <c r="V160" i="7"/>
  <c r="W7" i="18" s="1"/>
  <c r="I160" i="7"/>
  <c r="I7" i="18" s="1"/>
  <c r="G160" i="7"/>
  <c r="G7" i="18" s="1"/>
  <c r="Z159" i="7"/>
  <c r="AA6" i="18" s="1"/>
  <c r="X159" i="7"/>
  <c r="Y6" i="18" s="1"/>
  <c r="W159" i="7"/>
  <c r="X6" i="18" s="1"/>
  <c r="V159" i="7"/>
  <c r="W6" i="18" s="1"/>
  <c r="G159" i="7"/>
  <c r="G6" i="18" s="1"/>
  <c r="Z158" i="7"/>
  <c r="AA5" i="18" s="1"/>
  <c r="X158" i="7"/>
  <c r="Y5" i="18" s="1"/>
  <c r="W158" i="7"/>
  <c r="V158" i="7"/>
  <c r="W5" i="18" s="1"/>
  <c r="G158" i="7"/>
  <c r="G5" i="18" s="1"/>
  <c r="Z157" i="7"/>
  <c r="AA4" i="18" s="1"/>
  <c r="Y157" i="7"/>
  <c r="Z4" i="18" s="1"/>
  <c r="X157" i="7"/>
  <c r="Y4" i="18" s="1"/>
  <c r="W157" i="7"/>
  <c r="X4" i="18" s="1"/>
  <c r="V157" i="7"/>
  <c r="W4" i="18" s="1"/>
  <c r="G157" i="7"/>
  <c r="G4" i="18" s="1"/>
  <c r="Z156" i="7"/>
  <c r="AA3" i="18" s="1"/>
  <c r="Y156" i="7"/>
  <c r="Z3" i="18" s="1"/>
  <c r="X156" i="7"/>
  <c r="Y3" i="18" s="1"/>
  <c r="W156" i="7"/>
  <c r="X3" i="18" s="1"/>
  <c r="V156" i="7"/>
  <c r="W3" i="18" s="1"/>
  <c r="G156" i="7"/>
  <c r="G3" i="18" s="1"/>
  <c r="Z155" i="7"/>
  <c r="AA2" i="18" s="1"/>
  <c r="Y155" i="7"/>
  <c r="Z2" i="18" s="1"/>
  <c r="X155" i="7"/>
  <c r="Y2" i="18" s="1"/>
  <c r="W155" i="7"/>
  <c r="X2" i="18" s="1"/>
  <c r="V155" i="7"/>
  <c r="W2" i="18" s="1"/>
  <c r="G155" i="7"/>
  <c r="G2" i="18" s="1"/>
  <c r="Z154" i="7"/>
  <c r="AA23" i="17" s="1"/>
  <c r="X154" i="7"/>
  <c r="Y23" i="17" s="1"/>
  <c r="W154" i="7"/>
  <c r="V154" i="7"/>
  <c r="W23" i="17" s="1"/>
  <c r="G154" i="7"/>
  <c r="G23" i="17" s="1"/>
  <c r="Z153" i="7"/>
  <c r="AA22" i="17" s="1"/>
  <c r="Y153" i="7"/>
  <c r="Z22" i="17" s="1"/>
  <c r="X153" i="7"/>
  <c r="Y22" i="17" s="1"/>
  <c r="W153" i="7"/>
  <c r="X22" i="17" s="1"/>
  <c r="V153" i="7"/>
  <c r="W22" i="17" s="1"/>
  <c r="I153" i="7"/>
  <c r="I22" i="17" s="1"/>
  <c r="G153" i="7"/>
  <c r="G22" i="17" s="1"/>
  <c r="Z152" i="7"/>
  <c r="AA21" i="17" s="1"/>
  <c r="X152" i="7"/>
  <c r="Y21" i="17" s="1"/>
  <c r="W152" i="7"/>
  <c r="X21" i="17" s="1"/>
  <c r="V152" i="7"/>
  <c r="W21" i="17" s="1"/>
  <c r="G152" i="7"/>
  <c r="G21" i="17" s="1"/>
  <c r="Z151" i="7"/>
  <c r="AA20" i="17" s="1"/>
  <c r="Y151" i="7"/>
  <c r="Z20" i="17" s="1"/>
  <c r="X151" i="7"/>
  <c r="Y20" i="17" s="1"/>
  <c r="W151" i="7"/>
  <c r="X20" i="17" s="1"/>
  <c r="V151" i="7"/>
  <c r="W20" i="17" s="1"/>
  <c r="G151" i="7"/>
  <c r="G20" i="17" s="1"/>
  <c r="Z150" i="7"/>
  <c r="AA19" i="17" s="1"/>
  <c r="X150" i="7"/>
  <c r="Y19" i="17" s="1"/>
  <c r="W150" i="7"/>
  <c r="V150" i="7"/>
  <c r="W19" i="17" s="1"/>
  <c r="G150" i="7"/>
  <c r="G19" i="17" s="1"/>
  <c r="Z149" i="7"/>
  <c r="AA18" i="17" s="1"/>
  <c r="X149" i="7"/>
  <c r="Y18" i="17" s="1"/>
  <c r="W149" i="7"/>
  <c r="X18" i="17" s="1"/>
  <c r="V149" i="7"/>
  <c r="W18" i="17" s="1"/>
  <c r="G149" i="7"/>
  <c r="G18" i="17" s="1"/>
  <c r="Z148" i="7"/>
  <c r="AA17" i="17" s="1"/>
  <c r="X148" i="7"/>
  <c r="Y17" i="17" s="1"/>
  <c r="W148" i="7"/>
  <c r="X17" i="17" s="1"/>
  <c r="V148" i="7"/>
  <c r="W17" i="17" s="1"/>
  <c r="G148" i="7"/>
  <c r="G17" i="17" s="1"/>
  <c r="Z147" i="7"/>
  <c r="AA16" i="17" s="1"/>
  <c r="Y147" i="7"/>
  <c r="Z16" i="17" s="1"/>
  <c r="X147" i="7"/>
  <c r="Y16" i="17" s="1"/>
  <c r="W147" i="7"/>
  <c r="X16" i="17" s="1"/>
  <c r="V147" i="7"/>
  <c r="W16" i="17" s="1"/>
  <c r="G147" i="7"/>
  <c r="G16" i="17" s="1"/>
  <c r="Z146" i="7"/>
  <c r="AA15" i="17" s="1"/>
  <c r="X146" i="7"/>
  <c r="Y15" i="17" s="1"/>
  <c r="W146" i="7"/>
  <c r="V146" i="7"/>
  <c r="W15" i="17" s="1"/>
  <c r="G146" i="7"/>
  <c r="G15" i="17" s="1"/>
  <c r="Z145" i="7"/>
  <c r="AA14" i="17" s="1"/>
  <c r="X145" i="7"/>
  <c r="Y14" i="17" s="1"/>
  <c r="W145" i="7"/>
  <c r="X14" i="17" s="1"/>
  <c r="V145" i="7"/>
  <c r="W14" i="17" s="1"/>
  <c r="G145" i="7"/>
  <c r="G14" i="17" s="1"/>
  <c r="Z144" i="7"/>
  <c r="AA13" i="17" s="1"/>
  <c r="X144" i="7"/>
  <c r="Y13" i="17" s="1"/>
  <c r="W144" i="7"/>
  <c r="X13" i="17" s="1"/>
  <c r="V144" i="7"/>
  <c r="W13" i="17" s="1"/>
  <c r="G144" i="7"/>
  <c r="G13" i="17" s="1"/>
  <c r="Z143" i="7"/>
  <c r="AA12" i="17" s="1"/>
  <c r="Y143" i="7"/>
  <c r="Z12" i="17" s="1"/>
  <c r="X143" i="7"/>
  <c r="Y12" i="17" s="1"/>
  <c r="W143" i="7"/>
  <c r="X12" i="17" s="1"/>
  <c r="V143" i="7"/>
  <c r="W12" i="17" s="1"/>
  <c r="G143" i="7"/>
  <c r="G12" i="17" s="1"/>
  <c r="Z142" i="7"/>
  <c r="AA11" i="17" s="1"/>
  <c r="X142" i="7"/>
  <c r="Y11" i="17" s="1"/>
  <c r="W142" i="7"/>
  <c r="V142" i="7"/>
  <c r="W11" i="17" s="1"/>
  <c r="G142" i="7"/>
  <c r="G11" i="17" s="1"/>
  <c r="Z141" i="7"/>
  <c r="AA10" i="17" s="1"/>
  <c r="X141" i="7"/>
  <c r="Y10" i="17" s="1"/>
  <c r="W141" i="7"/>
  <c r="X10" i="17" s="1"/>
  <c r="V141" i="7"/>
  <c r="W10" i="17" s="1"/>
  <c r="G141" i="7"/>
  <c r="G10" i="17" s="1"/>
  <c r="Z140" i="7"/>
  <c r="AA9" i="17" s="1"/>
  <c r="X140" i="7"/>
  <c r="Y9" i="17" s="1"/>
  <c r="W140" i="7"/>
  <c r="X9" i="17" s="1"/>
  <c r="V140" i="7"/>
  <c r="W9" i="17" s="1"/>
  <c r="G140" i="7"/>
  <c r="G9" i="17" s="1"/>
  <c r="Z139" i="7"/>
  <c r="AA8" i="17" s="1"/>
  <c r="Y139" i="7"/>
  <c r="Z8" i="17" s="1"/>
  <c r="X139" i="7"/>
  <c r="Y8" i="17" s="1"/>
  <c r="W139" i="7"/>
  <c r="X8" i="17" s="1"/>
  <c r="V139" i="7"/>
  <c r="W8" i="17" s="1"/>
  <c r="G139" i="7"/>
  <c r="G8" i="17" s="1"/>
  <c r="Z138" i="7"/>
  <c r="AA7" i="17" s="1"/>
  <c r="X138" i="7"/>
  <c r="Y7" i="17" s="1"/>
  <c r="W138" i="7"/>
  <c r="V138" i="7"/>
  <c r="W7" i="17" s="1"/>
  <c r="G138" i="7"/>
  <c r="G7" i="17" s="1"/>
  <c r="Z137" i="7"/>
  <c r="AA6" i="17" s="1"/>
  <c r="X137" i="7"/>
  <c r="Y6" i="17" s="1"/>
  <c r="W137" i="7"/>
  <c r="X6" i="17" s="1"/>
  <c r="V137" i="7"/>
  <c r="W6" i="17" s="1"/>
  <c r="G137" i="7"/>
  <c r="G6" i="17" s="1"/>
  <c r="Z136" i="7"/>
  <c r="AA5" i="17" s="1"/>
  <c r="X136" i="7"/>
  <c r="Y5" i="17" s="1"/>
  <c r="W136" i="7"/>
  <c r="X5" i="17" s="1"/>
  <c r="V136" i="7"/>
  <c r="W5" i="17" s="1"/>
  <c r="G136" i="7"/>
  <c r="G5" i="17" s="1"/>
  <c r="Z135" i="7"/>
  <c r="AA4" i="17" s="1"/>
  <c r="Y135" i="7"/>
  <c r="Z4" i="17" s="1"/>
  <c r="X135" i="7"/>
  <c r="Y4" i="17" s="1"/>
  <c r="W135" i="7"/>
  <c r="X4" i="17" s="1"/>
  <c r="V135" i="7"/>
  <c r="W4" i="17" s="1"/>
  <c r="G135" i="7"/>
  <c r="G4" i="17" s="1"/>
  <c r="Z134" i="7"/>
  <c r="AA3" i="17" s="1"/>
  <c r="X134" i="7"/>
  <c r="Y3" i="17" s="1"/>
  <c r="W134" i="7"/>
  <c r="V134" i="7"/>
  <c r="W3" i="17" s="1"/>
  <c r="G134" i="7"/>
  <c r="G3" i="17" s="1"/>
  <c r="Z133" i="7"/>
  <c r="AA2" i="17" s="1"/>
  <c r="X133" i="7"/>
  <c r="Y2" i="17" s="1"/>
  <c r="W133" i="7"/>
  <c r="X2" i="17" s="1"/>
  <c r="V133" i="7"/>
  <c r="W2" i="17" s="1"/>
  <c r="G133" i="7"/>
  <c r="G2" i="17" s="1"/>
  <c r="Z132" i="7"/>
  <c r="AA17" i="16" s="1"/>
  <c r="X132" i="7"/>
  <c r="Y17" i="16" s="1"/>
  <c r="W132" i="7"/>
  <c r="X17" i="16" s="1"/>
  <c r="V132" i="7"/>
  <c r="W17" i="16" s="1"/>
  <c r="G132" i="7"/>
  <c r="G17" i="16" s="1"/>
  <c r="Z131" i="7"/>
  <c r="AA16" i="16" s="1"/>
  <c r="Y131" i="7"/>
  <c r="Z16" i="16" s="1"/>
  <c r="X131" i="7"/>
  <c r="Y16" i="16" s="1"/>
  <c r="W131" i="7"/>
  <c r="X16" i="16" s="1"/>
  <c r="V131" i="7"/>
  <c r="W16" i="16" s="1"/>
  <c r="G131" i="7"/>
  <c r="G16" i="16" s="1"/>
  <c r="Z130" i="7"/>
  <c r="AA15" i="16" s="1"/>
  <c r="X130" i="7"/>
  <c r="Y15" i="16" s="1"/>
  <c r="W130" i="7"/>
  <c r="V130" i="7"/>
  <c r="W15" i="16" s="1"/>
  <c r="G130" i="7"/>
  <c r="G15" i="16" s="1"/>
  <c r="Z129" i="7"/>
  <c r="AA14" i="16" s="1"/>
  <c r="X129" i="7"/>
  <c r="Y14" i="16" s="1"/>
  <c r="W129" i="7"/>
  <c r="X14" i="16" s="1"/>
  <c r="V129" i="7"/>
  <c r="W14" i="16" s="1"/>
  <c r="G129" i="7"/>
  <c r="G14" i="16" s="1"/>
  <c r="Z128" i="7"/>
  <c r="AA13" i="16" s="1"/>
  <c r="X128" i="7"/>
  <c r="Y13" i="16" s="1"/>
  <c r="W128" i="7"/>
  <c r="X13" i="16" s="1"/>
  <c r="V128" i="7"/>
  <c r="W13" i="16" s="1"/>
  <c r="G128" i="7"/>
  <c r="G13" i="16" s="1"/>
  <c r="Z127" i="7"/>
  <c r="AA12" i="16" s="1"/>
  <c r="Y127" i="7"/>
  <c r="Z12" i="16" s="1"/>
  <c r="X127" i="7"/>
  <c r="Y12" i="16" s="1"/>
  <c r="W127" i="7"/>
  <c r="X12" i="16" s="1"/>
  <c r="V127" i="7"/>
  <c r="W12" i="16" s="1"/>
  <c r="G127" i="7"/>
  <c r="G12" i="16" s="1"/>
  <c r="Z126" i="7"/>
  <c r="AA11" i="16" s="1"/>
  <c r="X126" i="7"/>
  <c r="Y11" i="16" s="1"/>
  <c r="W126" i="7"/>
  <c r="V126" i="7"/>
  <c r="W11" i="16" s="1"/>
  <c r="G126" i="7"/>
  <c r="G11" i="16" s="1"/>
  <c r="Z125" i="7"/>
  <c r="AA10" i="16" s="1"/>
  <c r="X125" i="7"/>
  <c r="Y10" i="16" s="1"/>
  <c r="W125" i="7"/>
  <c r="X10" i="16" s="1"/>
  <c r="V125" i="7"/>
  <c r="W10" i="16" s="1"/>
  <c r="G125" i="7"/>
  <c r="G10" i="16" s="1"/>
  <c r="Z124" i="7"/>
  <c r="AA9" i="16" s="1"/>
  <c r="X124" i="7"/>
  <c r="Y9" i="16" s="1"/>
  <c r="W124" i="7"/>
  <c r="X9" i="16" s="1"/>
  <c r="V124" i="7"/>
  <c r="W9" i="16" s="1"/>
  <c r="G124" i="7"/>
  <c r="G9" i="16" s="1"/>
  <c r="Z123" i="7"/>
  <c r="AA8" i="16" s="1"/>
  <c r="Y123" i="7"/>
  <c r="Z8" i="16" s="1"/>
  <c r="X123" i="7"/>
  <c r="Y8" i="16" s="1"/>
  <c r="W123" i="7"/>
  <c r="X8" i="16" s="1"/>
  <c r="V123" i="7"/>
  <c r="W8" i="16" s="1"/>
  <c r="G123" i="7"/>
  <c r="G8" i="16" s="1"/>
  <c r="Z122" i="7"/>
  <c r="AA7" i="16" s="1"/>
  <c r="X122" i="7"/>
  <c r="Y7" i="16" s="1"/>
  <c r="W122" i="7"/>
  <c r="V122" i="7"/>
  <c r="W7" i="16" s="1"/>
  <c r="G122" i="7"/>
  <c r="G7" i="16" s="1"/>
  <c r="Z121" i="7"/>
  <c r="AA6" i="16" s="1"/>
  <c r="X121" i="7"/>
  <c r="Y6" i="16" s="1"/>
  <c r="W121" i="7"/>
  <c r="X6" i="16" s="1"/>
  <c r="V121" i="7"/>
  <c r="W6" i="16" s="1"/>
  <c r="G121" i="7"/>
  <c r="G6" i="16" s="1"/>
  <c r="Z120" i="7"/>
  <c r="AA5" i="16" s="1"/>
  <c r="X120" i="7"/>
  <c r="Y5" i="16" s="1"/>
  <c r="W120" i="7"/>
  <c r="X5" i="16" s="1"/>
  <c r="V120" i="7"/>
  <c r="W5" i="16" s="1"/>
  <c r="G120" i="7"/>
  <c r="G5" i="16" s="1"/>
  <c r="Z119" i="7"/>
  <c r="AA4" i="16" s="1"/>
  <c r="Y119" i="7"/>
  <c r="Z4" i="16" s="1"/>
  <c r="X119" i="7"/>
  <c r="Y4" i="16" s="1"/>
  <c r="W119" i="7"/>
  <c r="X4" i="16" s="1"/>
  <c r="V119" i="7"/>
  <c r="W4" i="16" s="1"/>
  <c r="G119" i="7"/>
  <c r="G4" i="16" s="1"/>
  <c r="Z118" i="7"/>
  <c r="AA3" i="16" s="1"/>
  <c r="X118" i="7"/>
  <c r="Y3" i="16" s="1"/>
  <c r="W118" i="7"/>
  <c r="V118" i="7"/>
  <c r="W3" i="16" s="1"/>
  <c r="I118" i="7"/>
  <c r="I3" i="16" s="1"/>
  <c r="G118" i="7"/>
  <c r="G3" i="16" s="1"/>
  <c r="Z117" i="7"/>
  <c r="AA2" i="16" s="1"/>
  <c r="X117" i="7"/>
  <c r="Y2" i="16" s="1"/>
  <c r="W117" i="7"/>
  <c r="V117" i="7"/>
  <c r="W2" i="16" s="1"/>
  <c r="G117" i="7"/>
  <c r="G2" i="16" s="1"/>
  <c r="Z116" i="7"/>
  <c r="AA20" i="15" s="1"/>
  <c r="Y116" i="7"/>
  <c r="Z20" i="15" s="1"/>
  <c r="X116" i="7"/>
  <c r="Y20" i="15" s="1"/>
  <c r="W116" i="7"/>
  <c r="X20" i="15" s="1"/>
  <c r="V116" i="7"/>
  <c r="W20" i="15" s="1"/>
  <c r="G116" i="7"/>
  <c r="G20" i="15" s="1"/>
  <c r="Z115" i="7"/>
  <c r="AA19" i="15" s="1"/>
  <c r="Y115" i="7"/>
  <c r="Z19" i="15" s="1"/>
  <c r="X115" i="7"/>
  <c r="Y19" i="15" s="1"/>
  <c r="W115" i="7"/>
  <c r="X19" i="15" s="1"/>
  <c r="V115" i="7"/>
  <c r="W19" i="15" s="1"/>
  <c r="G115" i="7"/>
  <c r="G19" i="15" s="1"/>
  <c r="Z114" i="7"/>
  <c r="AA18" i="15" s="1"/>
  <c r="Y114" i="7"/>
  <c r="Z18" i="15" s="1"/>
  <c r="X114" i="7"/>
  <c r="Y18" i="15" s="1"/>
  <c r="W114" i="7"/>
  <c r="X18" i="15" s="1"/>
  <c r="V114" i="7"/>
  <c r="W18" i="15" s="1"/>
  <c r="G114" i="7"/>
  <c r="G18" i="15" s="1"/>
  <c r="Z113" i="7"/>
  <c r="AA17" i="15" s="1"/>
  <c r="X113" i="7"/>
  <c r="Y17" i="15" s="1"/>
  <c r="W113" i="7"/>
  <c r="V113" i="7"/>
  <c r="W17" i="15" s="1"/>
  <c r="G113" i="7"/>
  <c r="G17" i="15" s="1"/>
  <c r="Z112" i="7"/>
  <c r="AA16" i="15" s="1"/>
  <c r="Y112" i="7"/>
  <c r="Z16" i="15" s="1"/>
  <c r="X112" i="7"/>
  <c r="Y16" i="15" s="1"/>
  <c r="W112" i="7"/>
  <c r="X16" i="15" s="1"/>
  <c r="V112" i="7"/>
  <c r="W16" i="15" s="1"/>
  <c r="G112" i="7"/>
  <c r="G16" i="15" s="1"/>
  <c r="Z111" i="7"/>
  <c r="AA15" i="15" s="1"/>
  <c r="Y111" i="7"/>
  <c r="Z15" i="15" s="1"/>
  <c r="X111" i="7"/>
  <c r="Y15" i="15" s="1"/>
  <c r="W111" i="7"/>
  <c r="X15" i="15" s="1"/>
  <c r="V111" i="7"/>
  <c r="W15" i="15" s="1"/>
  <c r="I111" i="7"/>
  <c r="I15" i="15" s="1"/>
  <c r="G111" i="7"/>
  <c r="G15" i="15" s="1"/>
  <c r="Z110" i="7"/>
  <c r="AA14" i="15" s="1"/>
  <c r="Y110" i="7"/>
  <c r="Z14" i="15" s="1"/>
  <c r="X110" i="7"/>
  <c r="Y14" i="15" s="1"/>
  <c r="W110" i="7"/>
  <c r="X14" i="15" s="1"/>
  <c r="V110" i="7"/>
  <c r="W14" i="15" s="1"/>
  <c r="G110" i="7"/>
  <c r="G14" i="15" s="1"/>
  <c r="Z109" i="7"/>
  <c r="AA13" i="15" s="1"/>
  <c r="X109" i="7"/>
  <c r="Y13" i="15" s="1"/>
  <c r="W109" i="7"/>
  <c r="V109" i="7"/>
  <c r="W13" i="15" s="1"/>
  <c r="G109" i="7"/>
  <c r="G13" i="15" s="1"/>
  <c r="Z108" i="7"/>
  <c r="AA12" i="15" s="1"/>
  <c r="X108" i="7"/>
  <c r="Y12" i="15" s="1"/>
  <c r="W108" i="7"/>
  <c r="X12" i="15" s="1"/>
  <c r="V108" i="7"/>
  <c r="W12" i="15" s="1"/>
  <c r="G108" i="7"/>
  <c r="G12" i="15" s="1"/>
  <c r="Z107" i="7"/>
  <c r="AA11" i="15" s="1"/>
  <c r="X107" i="7"/>
  <c r="Y11" i="15" s="1"/>
  <c r="W107" i="7"/>
  <c r="X11" i="15" s="1"/>
  <c r="V107" i="7"/>
  <c r="W11" i="15" s="1"/>
  <c r="G107" i="7"/>
  <c r="G11" i="15" s="1"/>
  <c r="Z106" i="7"/>
  <c r="AA10" i="15" s="1"/>
  <c r="Y106" i="7"/>
  <c r="Z10" i="15" s="1"/>
  <c r="X106" i="7"/>
  <c r="Y10" i="15" s="1"/>
  <c r="W106" i="7"/>
  <c r="X10" i="15" s="1"/>
  <c r="V106" i="7"/>
  <c r="W10" i="15" s="1"/>
  <c r="G106" i="7"/>
  <c r="G10" i="15" s="1"/>
  <c r="Z105" i="7"/>
  <c r="AA9" i="15" s="1"/>
  <c r="X105" i="7"/>
  <c r="Y9" i="15" s="1"/>
  <c r="W105" i="7"/>
  <c r="V105" i="7"/>
  <c r="W9" i="15" s="1"/>
  <c r="G105" i="7"/>
  <c r="G9" i="15" s="1"/>
  <c r="Z104" i="7"/>
  <c r="AA8" i="15" s="1"/>
  <c r="X104" i="7"/>
  <c r="Y8" i="15" s="1"/>
  <c r="W104" i="7"/>
  <c r="X8" i="15" s="1"/>
  <c r="V104" i="7"/>
  <c r="W8" i="15" s="1"/>
  <c r="G104" i="7"/>
  <c r="G8" i="15" s="1"/>
  <c r="Z103" i="7"/>
  <c r="AA7" i="15" s="1"/>
  <c r="Y103" i="7"/>
  <c r="Z7" i="15" s="1"/>
  <c r="X103" i="7"/>
  <c r="Y7" i="15" s="1"/>
  <c r="W103" i="7"/>
  <c r="X7" i="15" s="1"/>
  <c r="V103" i="7"/>
  <c r="W7" i="15" s="1"/>
  <c r="G103" i="7"/>
  <c r="G7" i="15" s="1"/>
  <c r="Z102" i="7"/>
  <c r="AA6" i="15" s="1"/>
  <c r="Y102" i="7"/>
  <c r="Z6" i="15" s="1"/>
  <c r="X102" i="7"/>
  <c r="Y6" i="15" s="1"/>
  <c r="W102" i="7"/>
  <c r="X6" i="15" s="1"/>
  <c r="V102" i="7"/>
  <c r="W6" i="15" s="1"/>
  <c r="G102" i="7"/>
  <c r="G6" i="15" s="1"/>
  <c r="Z101" i="7"/>
  <c r="AA5" i="15" s="1"/>
  <c r="X101" i="7"/>
  <c r="Y5" i="15" s="1"/>
  <c r="W101" i="7"/>
  <c r="V101" i="7"/>
  <c r="W5" i="15" s="1"/>
  <c r="G101" i="7"/>
  <c r="G5" i="15" s="1"/>
  <c r="Z100" i="7"/>
  <c r="AA4" i="15" s="1"/>
  <c r="X100" i="7"/>
  <c r="Y4" i="15" s="1"/>
  <c r="W100" i="7"/>
  <c r="X4" i="15" s="1"/>
  <c r="V100" i="7"/>
  <c r="W4" i="15" s="1"/>
  <c r="G100" i="7"/>
  <c r="G4" i="15" s="1"/>
  <c r="Z99" i="7"/>
  <c r="AA3" i="15" s="1"/>
  <c r="Y99" i="7"/>
  <c r="Z3" i="15" s="1"/>
  <c r="X99" i="7"/>
  <c r="Y3" i="15" s="1"/>
  <c r="W99" i="7"/>
  <c r="X3" i="15" s="1"/>
  <c r="V99" i="7"/>
  <c r="W3" i="15" s="1"/>
  <c r="G99" i="7"/>
  <c r="G3" i="15" s="1"/>
  <c r="Z98" i="7"/>
  <c r="AA2" i="15" s="1"/>
  <c r="Y98" i="7"/>
  <c r="Z2" i="15" s="1"/>
  <c r="X98" i="7"/>
  <c r="Y2" i="15" s="1"/>
  <c r="W98" i="7"/>
  <c r="X2" i="15" s="1"/>
  <c r="V98" i="7"/>
  <c r="W2" i="15" s="1"/>
  <c r="G98" i="7"/>
  <c r="G2" i="15" s="1"/>
  <c r="Z97" i="7"/>
  <c r="AA23" i="14" s="1"/>
  <c r="X97" i="7"/>
  <c r="Y23" i="14" s="1"/>
  <c r="W97" i="7"/>
  <c r="V97" i="7"/>
  <c r="G97" i="7"/>
  <c r="G23" i="14" s="1"/>
  <c r="Z96" i="7"/>
  <c r="AA22" i="14" s="1"/>
  <c r="X96" i="7"/>
  <c r="W96" i="7"/>
  <c r="X22" i="14" s="1"/>
  <c r="V96" i="7"/>
  <c r="W22" i="14" s="1"/>
  <c r="G96" i="7"/>
  <c r="G22" i="14" s="1"/>
  <c r="Z95" i="7"/>
  <c r="AA21" i="14" s="1"/>
  <c r="Y95" i="7"/>
  <c r="Z21" i="14" s="1"/>
  <c r="X95" i="7"/>
  <c r="W95" i="7"/>
  <c r="X21" i="14" s="1"/>
  <c r="V95" i="7"/>
  <c r="W21" i="14" s="1"/>
  <c r="G95" i="7"/>
  <c r="G21" i="14" s="1"/>
  <c r="Z94" i="7"/>
  <c r="AA20" i="14" s="1"/>
  <c r="Y94" i="7"/>
  <c r="Z20" i="14" s="1"/>
  <c r="X94" i="7"/>
  <c r="Y20" i="14" s="1"/>
  <c r="W94" i="7"/>
  <c r="X20" i="14" s="1"/>
  <c r="V94" i="7"/>
  <c r="W20" i="14" s="1"/>
  <c r="G94" i="7"/>
  <c r="G20" i="14" s="1"/>
  <c r="Z93" i="7"/>
  <c r="X93" i="7"/>
  <c r="Y19" i="14" s="1"/>
  <c r="W93" i="7"/>
  <c r="V93" i="7"/>
  <c r="W19" i="14" s="1"/>
  <c r="G93" i="7"/>
  <c r="G19" i="14" s="1"/>
  <c r="Z92" i="7"/>
  <c r="AA18" i="14" s="1"/>
  <c r="X92" i="7"/>
  <c r="Y18" i="14" s="1"/>
  <c r="W92" i="7"/>
  <c r="X18" i="14" s="1"/>
  <c r="V92" i="7"/>
  <c r="W18" i="14" s="1"/>
  <c r="G92" i="7"/>
  <c r="G18" i="14" s="1"/>
  <c r="Z91" i="7"/>
  <c r="AA17" i="14" s="1"/>
  <c r="Y91" i="7"/>
  <c r="Z17" i="14" s="1"/>
  <c r="X91" i="7"/>
  <c r="Y17" i="14" s="1"/>
  <c r="W91" i="7"/>
  <c r="X17" i="14" s="1"/>
  <c r="V91" i="7"/>
  <c r="W17" i="14" s="1"/>
  <c r="G91" i="7"/>
  <c r="G17" i="14" s="1"/>
  <c r="Z90" i="7"/>
  <c r="AA16" i="14" s="1"/>
  <c r="Y90" i="7"/>
  <c r="Z16" i="14" s="1"/>
  <c r="X90" i="7"/>
  <c r="Y16" i="14" s="1"/>
  <c r="W90" i="7"/>
  <c r="X16" i="14" s="1"/>
  <c r="V90" i="7"/>
  <c r="W16" i="14" s="1"/>
  <c r="G90" i="7"/>
  <c r="G16" i="14" s="1"/>
  <c r="Z89" i="7"/>
  <c r="AA15" i="14" s="1"/>
  <c r="X89" i="7"/>
  <c r="Y15" i="14" s="1"/>
  <c r="W89" i="7"/>
  <c r="V89" i="7"/>
  <c r="W15" i="14" s="1"/>
  <c r="G89" i="7"/>
  <c r="G15" i="14" s="1"/>
  <c r="Z88" i="7"/>
  <c r="AA14" i="14" s="1"/>
  <c r="X88" i="7"/>
  <c r="Y14" i="14" s="1"/>
  <c r="W88" i="7"/>
  <c r="X14" i="14" s="1"/>
  <c r="V88" i="7"/>
  <c r="W14" i="14" s="1"/>
  <c r="G88" i="7"/>
  <c r="G14" i="14" s="1"/>
  <c r="Z87" i="7"/>
  <c r="AA13" i="14" s="1"/>
  <c r="Y87" i="7"/>
  <c r="Z13" i="14" s="1"/>
  <c r="X87" i="7"/>
  <c r="Y13" i="14" s="1"/>
  <c r="W87" i="7"/>
  <c r="X13" i="14" s="1"/>
  <c r="V87" i="7"/>
  <c r="W13" i="14" s="1"/>
  <c r="G87" i="7"/>
  <c r="G13" i="14" s="1"/>
  <c r="Z86" i="7"/>
  <c r="AA12" i="14" s="1"/>
  <c r="Y86" i="7"/>
  <c r="Z12" i="14" s="1"/>
  <c r="X86" i="7"/>
  <c r="Y12" i="14" s="1"/>
  <c r="W86" i="7"/>
  <c r="X12" i="14" s="1"/>
  <c r="V86" i="7"/>
  <c r="W12" i="14" s="1"/>
  <c r="G86" i="7"/>
  <c r="G12" i="14" s="1"/>
  <c r="Z85" i="7"/>
  <c r="AA11" i="14" s="1"/>
  <c r="X85" i="7"/>
  <c r="Y11" i="14" s="1"/>
  <c r="W85" i="7"/>
  <c r="V85" i="7"/>
  <c r="W11" i="14" s="1"/>
  <c r="G85" i="7"/>
  <c r="G11" i="14" s="1"/>
  <c r="W84" i="7"/>
  <c r="X10" i="14" s="1"/>
  <c r="V84" i="7"/>
  <c r="W10" i="14" s="1"/>
  <c r="K84" i="7"/>
  <c r="I84" i="7"/>
  <c r="I10" i="14" s="1"/>
  <c r="G84" i="7"/>
  <c r="G10" i="14" s="1"/>
  <c r="Z83" i="7"/>
  <c r="AA9" i="14" s="1"/>
  <c r="X83" i="7"/>
  <c r="Y9" i="14" s="1"/>
  <c r="W83" i="7"/>
  <c r="X9" i="14" s="1"/>
  <c r="V83" i="7"/>
  <c r="W9" i="14" s="1"/>
  <c r="G83" i="7"/>
  <c r="G9" i="14" s="1"/>
  <c r="Z82" i="7"/>
  <c r="AA8" i="14" s="1"/>
  <c r="Y82" i="7"/>
  <c r="Z8" i="14" s="1"/>
  <c r="X82" i="7"/>
  <c r="Y8" i="14" s="1"/>
  <c r="W82" i="7"/>
  <c r="X8" i="14" s="1"/>
  <c r="V82" i="7"/>
  <c r="W8" i="14" s="1"/>
  <c r="G82" i="7"/>
  <c r="G8" i="14" s="1"/>
  <c r="Z81" i="7"/>
  <c r="AA7" i="14" s="1"/>
  <c r="Y81" i="7"/>
  <c r="Z7" i="14" s="1"/>
  <c r="X81" i="7"/>
  <c r="Y7" i="14" s="1"/>
  <c r="W81" i="7"/>
  <c r="X7" i="14" s="1"/>
  <c r="V81" i="7"/>
  <c r="W7" i="14" s="1"/>
  <c r="G81" i="7"/>
  <c r="G7" i="14" s="1"/>
  <c r="Z80" i="7"/>
  <c r="AA6" i="14" s="1"/>
  <c r="X80" i="7"/>
  <c r="Y6" i="14" s="1"/>
  <c r="W80" i="7"/>
  <c r="V80" i="7"/>
  <c r="W6" i="14" s="1"/>
  <c r="G80" i="7"/>
  <c r="G6" i="14" s="1"/>
  <c r="Z79" i="7"/>
  <c r="AA5" i="14" s="1"/>
  <c r="X79" i="7"/>
  <c r="Y5" i="14" s="1"/>
  <c r="W79" i="7"/>
  <c r="X5" i="14" s="1"/>
  <c r="V79" i="7"/>
  <c r="W5" i="14" s="1"/>
  <c r="G79" i="7"/>
  <c r="G5" i="14" s="1"/>
  <c r="Z78" i="7"/>
  <c r="AA4" i="14" s="1"/>
  <c r="Y78" i="7"/>
  <c r="Z4" i="14" s="1"/>
  <c r="X78" i="7"/>
  <c r="Y4" i="14" s="1"/>
  <c r="W78" i="7"/>
  <c r="X4" i="14" s="1"/>
  <c r="V78" i="7"/>
  <c r="W4" i="14" s="1"/>
  <c r="G78" i="7"/>
  <c r="G4" i="14" s="1"/>
  <c r="Z77" i="7"/>
  <c r="AA3" i="14" s="1"/>
  <c r="Y77" i="7"/>
  <c r="Z3" i="14" s="1"/>
  <c r="X77" i="7"/>
  <c r="Y3" i="14" s="1"/>
  <c r="W77" i="7"/>
  <c r="X3" i="14" s="1"/>
  <c r="V77" i="7"/>
  <c r="W3" i="14" s="1"/>
  <c r="G77" i="7"/>
  <c r="G3" i="14" s="1"/>
  <c r="Z76" i="7"/>
  <c r="AA2" i="14" s="1"/>
  <c r="X76" i="7"/>
  <c r="Y2" i="14" s="1"/>
  <c r="W76" i="7"/>
  <c r="V76" i="7"/>
  <c r="W2" i="14" s="1"/>
  <c r="G76" i="7"/>
  <c r="G2" i="14" s="1"/>
  <c r="Z75" i="7"/>
  <c r="AA34" i="13" s="1"/>
  <c r="X75" i="7"/>
  <c r="Y34" i="13" s="1"/>
  <c r="W75" i="7"/>
  <c r="X34" i="13" s="1"/>
  <c r="V75" i="7"/>
  <c r="W34" i="13" s="1"/>
  <c r="G75" i="7"/>
  <c r="G34" i="13" s="1"/>
  <c r="Z74" i="7"/>
  <c r="AA33" i="13" s="1"/>
  <c r="Y74" i="7"/>
  <c r="Z33" i="13" s="1"/>
  <c r="X74" i="7"/>
  <c r="Y33" i="13" s="1"/>
  <c r="W74" i="7"/>
  <c r="X33" i="13" s="1"/>
  <c r="V74" i="7"/>
  <c r="W33" i="13" s="1"/>
  <c r="G74" i="7"/>
  <c r="G33" i="13" s="1"/>
  <c r="Z73" i="7"/>
  <c r="AA32" i="13" s="1"/>
  <c r="Y73" i="7"/>
  <c r="Z32" i="13" s="1"/>
  <c r="X73" i="7"/>
  <c r="Y32" i="13" s="1"/>
  <c r="W73" i="7"/>
  <c r="X32" i="13" s="1"/>
  <c r="V73" i="7"/>
  <c r="W32" i="13" s="1"/>
  <c r="G73" i="7"/>
  <c r="G32" i="13" s="1"/>
  <c r="Z72" i="7"/>
  <c r="AA31" i="13" s="1"/>
  <c r="X72" i="7"/>
  <c r="Y31" i="13" s="1"/>
  <c r="W72" i="7"/>
  <c r="V72" i="7"/>
  <c r="W31" i="13" s="1"/>
  <c r="G72" i="7"/>
  <c r="G31" i="13" s="1"/>
  <c r="Z71" i="7"/>
  <c r="AA30" i="13" s="1"/>
  <c r="X71" i="7"/>
  <c r="Y30" i="13" s="1"/>
  <c r="W71" i="7"/>
  <c r="X30" i="13" s="1"/>
  <c r="V71" i="7"/>
  <c r="W30" i="13" s="1"/>
  <c r="G71" i="7"/>
  <c r="G30" i="13" s="1"/>
  <c r="Z70" i="7"/>
  <c r="AA29" i="13" s="1"/>
  <c r="Y70" i="7"/>
  <c r="Z29" i="13" s="1"/>
  <c r="X70" i="7"/>
  <c r="Y29" i="13" s="1"/>
  <c r="W70" i="7"/>
  <c r="X29" i="13" s="1"/>
  <c r="V70" i="7"/>
  <c r="W29" i="13" s="1"/>
  <c r="G70" i="7"/>
  <c r="G29" i="13" s="1"/>
  <c r="Z69" i="7"/>
  <c r="AA28" i="13" s="1"/>
  <c r="Y69" i="7"/>
  <c r="Z28" i="13" s="1"/>
  <c r="X69" i="7"/>
  <c r="Y28" i="13" s="1"/>
  <c r="W69" i="7"/>
  <c r="X28" i="13" s="1"/>
  <c r="V69" i="7"/>
  <c r="W28" i="13" s="1"/>
  <c r="G69" i="7"/>
  <c r="G28" i="13" s="1"/>
  <c r="Z68" i="7"/>
  <c r="AA27" i="13" s="1"/>
  <c r="X68" i="7"/>
  <c r="Y27" i="13" s="1"/>
  <c r="W68" i="7"/>
  <c r="V68" i="7"/>
  <c r="W27" i="13" s="1"/>
  <c r="G68" i="7"/>
  <c r="G27" i="13" s="1"/>
  <c r="Z67" i="7"/>
  <c r="AA26" i="13" s="1"/>
  <c r="X67" i="7"/>
  <c r="Y26" i="13" s="1"/>
  <c r="W67" i="7"/>
  <c r="X26" i="13" s="1"/>
  <c r="V67" i="7"/>
  <c r="W26" i="13" s="1"/>
  <c r="G67" i="7"/>
  <c r="G26" i="13" s="1"/>
  <c r="Z66" i="7"/>
  <c r="AA25" i="13" s="1"/>
  <c r="Y66" i="7"/>
  <c r="Z25" i="13" s="1"/>
  <c r="X66" i="7"/>
  <c r="Y25" i="13" s="1"/>
  <c r="W66" i="7"/>
  <c r="X25" i="13" s="1"/>
  <c r="V66" i="7"/>
  <c r="W25" i="13" s="1"/>
  <c r="G66" i="7"/>
  <c r="G25" i="13" s="1"/>
  <c r="Z65" i="7"/>
  <c r="AA24" i="13" s="1"/>
  <c r="Y65" i="7"/>
  <c r="Z24" i="13" s="1"/>
  <c r="X65" i="7"/>
  <c r="Y24" i="13" s="1"/>
  <c r="W65" i="7"/>
  <c r="X24" i="13" s="1"/>
  <c r="V65" i="7"/>
  <c r="G65" i="7"/>
  <c r="G24" i="13" s="1"/>
  <c r="Z64" i="7"/>
  <c r="AA23" i="13" s="1"/>
  <c r="X64" i="7"/>
  <c r="Y23" i="13" s="1"/>
  <c r="W64" i="7"/>
  <c r="Y64" i="7" s="1"/>
  <c r="Z23" i="13" s="1"/>
  <c r="V64" i="7"/>
  <c r="W23" i="13" s="1"/>
  <c r="G64" i="7"/>
  <c r="G23" i="13" s="1"/>
  <c r="Z63" i="7"/>
  <c r="AA22" i="13" s="1"/>
  <c r="X63" i="7"/>
  <c r="Y22" i="13" s="1"/>
  <c r="W63" i="7"/>
  <c r="X22" i="13" s="1"/>
  <c r="V63" i="7"/>
  <c r="W22" i="13" s="1"/>
  <c r="G63" i="7"/>
  <c r="G22" i="13" s="1"/>
  <c r="Z62" i="7"/>
  <c r="AA21" i="13" s="1"/>
  <c r="Y62" i="7"/>
  <c r="Z21" i="13" s="1"/>
  <c r="X62" i="7"/>
  <c r="Y21" i="13" s="1"/>
  <c r="W62" i="7"/>
  <c r="X21" i="13" s="1"/>
  <c r="V62" i="7"/>
  <c r="W21" i="13" s="1"/>
  <c r="G62" i="7"/>
  <c r="G21" i="13" s="1"/>
  <c r="Z61" i="7"/>
  <c r="AA20" i="13" s="1"/>
  <c r="X61" i="7"/>
  <c r="W61" i="7"/>
  <c r="X20" i="13" s="1"/>
  <c r="V61" i="7"/>
  <c r="W20" i="13" s="1"/>
  <c r="G61" i="7"/>
  <c r="Z60" i="7"/>
  <c r="AA19" i="13" s="1"/>
  <c r="X60" i="7"/>
  <c r="Y19" i="13" s="1"/>
  <c r="W60" i="7"/>
  <c r="V60" i="7"/>
  <c r="W19" i="13" s="1"/>
  <c r="G60" i="7"/>
  <c r="G19" i="13" s="1"/>
  <c r="Z59" i="7"/>
  <c r="X59" i="7"/>
  <c r="Y18" i="13" s="1"/>
  <c r="W59" i="7"/>
  <c r="X18" i="13" s="1"/>
  <c r="V59" i="7"/>
  <c r="W18" i="13" s="1"/>
  <c r="G59" i="7"/>
  <c r="G18" i="13" s="1"/>
  <c r="Z58" i="7"/>
  <c r="AA17" i="13" s="1"/>
  <c r="Y58" i="7"/>
  <c r="Z17" i="13" s="1"/>
  <c r="X58" i="7"/>
  <c r="Y17" i="13" s="1"/>
  <c r="W58" i="7"/>
  <c r="X17" i="13" s="1"/>
  <c r="V58" i="7"/>
  <c r="W17" i="13" s="1"/>
  <c r="G58" i="7"/>
  <c r="G17" i="13" s="1"/>
  <c r="Z57" i="7"/>
  <c r="AA16" i="13" s="1"/>
  <c r="Y57" i="7"/>
  <c r="Z16" i="13" s="1"/>
  <c r="X57" i="7"/>
  <c r="Y16" i="13" s="1"/>
  <c r="W57" i="7"/>
  <c r="X16" i="13" s="1"/>
  <c r="V57" i="7"/>
  <c r="W16" i="13" s="1"/>
  <c r="G57" i="7"/>
  <c r="G16" i="13" s="1"/>
  <c r="Z56" i="7"/>
  <c r="AA15" i="13" s="1"/>
  <c r="X56" i="7"/>
  <c r="Y15" i="13" s="1"/>
  <c r="W56" i="7"/>
  <c r="V56" i="7"/>
  <c r="W15" i="13" s="1"/>
  <c r="G56" i="7"/>
  <c r="G15" i="13" s="1"/>
  <c r="Z55" i="7"/>
  <c r="AA14" i="13" s="1"/>
  <c r="X55" i="7"/>
  <c r="Y14" i="13" s="1"/>
  <c r="W55" i="7"/>
  <c r="X14" i="13" s="1"/>
  <c r="V55" i="7"/>
  <c r="W14" i="13" s="1"/>
  <c r="G55" i="7"/>
  <c r="G14" i="13" s="1"/>
  <c r="Z54" i="7"/>
  <c r="AA13" i="13" s="1"/>
  <c r="Y54" i="7"/>
  <c r="Z13" i="13" s="1"/>
  <c r="X54" i="7"/>
  <c r="Y13" i="13" s="1"/>
  <c r="W54" i="7"/>
  <c r="X13" i="13" s="1"/>
  <c r="V54" i="7"/>
  <c r="W13" i="13" s="1"/>
  <c r="G54" i="7"/>
  <c r="G13" i="13" s="1"/>
  <c r="Z53" i="7"/>
  <c r="AA12" i="13" s="1"/>
  <c r="Y53" i="7"/>
  <c r="Z12" i="13" s="1"/>
  <c r="X53" i="7"/>
  <c r="Y12" i="13" s="1"/>
  <c r="W53" i="7"/>
  <c r="X12" i="13" s="1"/>
  <c r="V53" i="7"/>
  <c r="W12" i="13" s="1"/>
  <c r="G53" i="7"/>
  <c r="G12" i="13" s="1"/>
  <c r="Z52" i="7"/>
  <c r="AA11" i="13" s="1"/>
  <c r="X52" i="7"/>
  <c r="Y11" i="13" s="1"/>
  <c r="W52" i="7"/>
  <c r="V52" i="7"/>
  <c r="W11" i="13" s="1"/>
  <c r="G52" i="7"/>
  <c r="G11" i="13" s="1"/>
  <c r="Z51" i="7"/>
  <c r="AA10" i="13" s="1"/>
  <c r="X51" i="7"/>
  <c r="Y10" i="13" s="1"/>
  <c r="W51" i="7"/>
  <c r="X10" i="13" s="1"/>
  <c r="V51" i="7"/>
  <c r="W10" i="13" s="1"/>
  <c r="G51" i="7"/>
  <c r="G10" i="13" s="1"/>
  <c r="Z50" i="7"/>
  <c r="AA9" i="13" s="1"/>
  <c r="Y50" i="7"/>
  <c r="Z9" i="13" s="1"/>
  <c r="X50" i="7"/>
  <c r="Y9" i="13" s="1"/>
  <c r="W50" i="7"/>
  <c r="X9" i="13" s="1"/>
  <c r="V50" i="7"/>
  <c r="W9" i="13" s="1"/>
  <c r="G50" i="7"/>
  <c r="G9" i="13" s="1"/>
  <c r="Z49" i="7"/>
  <c r="AA8" i="13" s="1"/>
  <c r="Y49" i="7"/>
  <c r="Z8" i="13" s="1"/>
  <c r="X49" i="7"/>
  <c r="Y8" i="13" s="1"/>
  <c r="W49" i="7"/>
  <c r="X8" i="13" s="1"/>
  <c r="V49" i="7"/>
  <c r="W8" i="13" s="1"/>
  <c r="I49" i="7"/>
  <c r="I8" i="13" s="1"/>
  <c r="G49" i="7"/>
  <c r="G8" i="13" s="1"/>
  <c r="Z48" i="7"/>
  <c r="AA7" i="13" s="1"/>
  <c r="X48" i="7"/>
  <c r="Y7" i="13" s="1"/>
  <c r="W48" i="7"/>
  <c r="X7" i="13" s="1"/>
  <c r="V48" i="7"/>
  <c r="W7" i="13" s="1"/>
  <c r="G48" i="7"/>
  <c r="G7" i="13" s="1"/>
  <c r="Z47" i="7"/>
  <c r="AA6" i="13" s="1"/>
  <c r="X47" i="7"/>
  <c r="Y6" i="13" s="1"/>
  <c r="W47" i="7"/>
  <c r="V47" i="7"/>
  <c r="W6" i="13" s="1"/>
  <c r="G47" i="7"/>
  <c r="G6" i="13" s="1"/>
  <c r="Z46" i="7"/>
  <c r="AA5" i="13" s="1"/>
  <c r="Y46" i="7"/>
  <c r="Z5" i="13" s="1"/>
  <c r="X46" i="7"/>
  <c r="Y5" i="13" s="1"/>
  <c r="W46" i="7"/>
  <c r="X5" i="13" s="1"/>
  <c r="V46" i="7"/>
  <c r="W5" i="13" s="1"/>
  <c r="G46" i="7"/>
  <c r="G5" i="13" s="1"/>
  <c r="Z45" i="7"/>
  <c r="AA4" i="13" s="1"/>
  <c r="Y45" i="7"/>
  <c r="Z4" i="13" s="1"/>
  <c r="X45" i="7"/>
  <c r="Y4" i="13" s="1"/>
  <c r="W45" i="7"/>
  <c r="V45" i="7"/>
  <c r="W4" i="13" s="1"/>
  <c r="G45" i="7"/>
  <c r="G4" i="13" s="1"/>
  <c r="Z44" i="7"/>
  <c r="AA3" i="13" s="1"/>
  <c r="X44" i="7"/>
  <c r="Y3" i="13" s="1"/>
  <c r="W44" i="7"/>
  <c r="X3" i="13" s="1"/>
  <c r="V44" i="7"/>
  <c r="W3" i="13" s="1"/>
  <c r="G44" i="7"/>
  <c r="G3" i="13" s="1"/>
  <c r="Z43" i="7"/>
  <c r="X43" i="7"/>
  <c r="Y2" i="13" s="1"/>
  <c r="W43" i="7"/>
  <c r="V43" i="7"/>
  <c r="W2" i="13" s="1"/>
  <c r="G43" i="7"/>
  <c r="G2" i="13" s="1"/>
  <c r="Z42" i="7"/>
  <c r="AA17" i="12" s="1"/>
  <c r="Y42" i="7"/>
  <c r="Z17" i="12" s="1"/>
  <c r="X42" i="7"/>
  <c r="Y17" i="12" s="1"/>
  <c r="W42" i="7"/>
  <c r="X17" i="12" s="1"/>
  <c r="V42" i="7"/>
  <c r="W17" i="12" s="1"/>
  <c r="G42" i="7"/>
  <c r="G17" i="12" s="1"/>
  <c r="Z41" i="7"/>
  <c r="AA16" i="12" s="1"/>
  <c r="X41" i="7"/>
  <c r="Y16" i="12" s="1"/>
  <c r="W41" i="7"/>
  <c r="X16" i="12" s="1"/>
  <c r="V41" i="7"/>
  <c r="W16" i="12" s="1"/>
  <c r="I41" i="7"/>
  <c r="I16" i="12" s="1"/>
  <c r="G41" i="7"/>
  <c r="G16" i="12" s="1"/>
  <c r="Z40" i="7"/>
  <c r="AA15" i="12" s="1"/>
  <c r="X40" i="7"/>
  <c r="Y15" i="12" s="1"/>
  <c r="W40" i="7"/>
  <c r="X15" i="12" s="1"/>
  <c r="V40" i="7"/>
  <c r="W15" i="12" s="1"/>
  <c r="G40" i="7"/>
  <c r="G15" i="12" s="1"/>
  <c r="Z39" i="7"/>
  <c r="AA14" i="12" s="1"/>
  <c r="X39" i="7"/>
  <c r="Y14" i="12" s="1"/>
  <c r="W39" i="7"/>
  <c r="V39" i="7"/>
  <c r="W14" i="12" s="1"/>
  <c r="G39" i="7"/>
  <c r="G14" i="12" s="1"/>
  <c r="Z38" i="7"/>
  <c r="AA13" i="12" s="1"/>
  <c r="X38" i="7"/>
  <c r="Y13" i="12" s="1"/>
  <c r="W38" i="7"/>
  <c r="X13" i="12" s="1"/>
  <c r="V38" i="7"/>
  <c r="W13" i="12" s="1"/>
  <c r="G38" i="7"/>
  <c r="G13" i="12" s="1"/>
  <c r="Z37" i="7"/>
  <c r="AA12" i="12" s="1"/>
  <c r="X37" i="7"/>
  <c r="Y12" i="12" s="1"/>
  <c r="W37" i="7"/>
  <c r="V37" i="7"/>
  <c r="G37" i="7"/>
  <c r="G12" i="12" s="1"/>
  <c r="Z36" i="7"/>
  <c r="AA11" i="12" s="1"/>
  <c r="X36" i="7"/>
  <c r="Y11" i="12" s="1"/>
  <c r="W36" i="7"/>
  <c r="X11" i="12" s="1"/>
  <c r="V36" i="7"/>
  <c r="W11" i="12" s="1"/>
  <c r="G36" i="7"/>
  <c r="G11" i="12" s="1"/>
  <c r="Z35" i="7"/>
  <c r="AA10" i="12" s="1"/>
  <c r="Y35" i="7"/>
  <c r="Z10" i="12" s="1"/>
  <c r="X35" i="7"/>
  <c r="Y10" i="12" s="1"/>
  <c r="W35" i="7"/>
  <c r="X10" i="12" s="1"/>
  <c r="V35" i="7"/>
  <c r="W10" i="12" s="1"/>
  <c r="G35" i="7"/>
  <c r="G10" i="12" s="1"/>
  <c r="Z34" i="7"/>
  <c r="AA9" i="12" s="1"/>
  <c r="X34" i="7"/>
  <c r="Y9" i="12" s="1"/>
  <c r="W34" i="7"/>
  <c r="V34" i="7"/>
  <c r="W9" i="12" s="1"/>
  <c r="G34" i="7"/>
  <c r="G9" i="12" s="1"/>
  <c r="Z33" i="7"/>
  <c r="AA8" i="12" s="1"/>
  <c r="Y33" i="7"/>
  <c r="Z8" i="12" s="1"/>
  <c r="X33" i="7"/>
  <c r="Y8" i="12" s="1"/>
  <c r="W33" i="7"/>
  <c r="X8" i="12" s="1"/>
  <c r="V33" i="7"/>
  <c r="W8" i="12" s="1"/>
  <c r="G33" i="7"/>
  <c r="G8" i="12" s="1"/>
  <c r="Z32" i="7"/>
  <c r="AA7" i="12" s="1"/>
  <c r="X32" i="7"/>
  <c r="Y7" i="12" s="1"/>
  <c r="W32" i="7"/>
  <c r="X7" i="12" s="1"/>
  <c r="V32" i="7"/>
  <c r="W7" i="12" s="1"/>
  <c r="G32" i="7"/>
  <c r="G7" i="12" s="1"/>
  <c r="Z31" i="7"/>
  <c r="AA6" i="12" s="1"/>
  <c r="X31" i="7"/>
  <c r="Y6" i="12" s="1"/>
  <c r="W31" i="7"/>
  <c r="X6" i="12" s="1"/>
  <c r="V31" i="7"/>
  <c r="W6" i="12" s="1"/>
  <c r="G31" i="7"/>
  <c r="G6" i="12" s="1"/>
  <c r="Z30" i="7"/>
  <c r="AA5" i="12" s="1"/>
  <c r="X30" i="7"/>
  <c r="Y5" i="12" s="1"/>
  <c r="W30" i="7"/>
  <c r="V30" i="7"/>
  <c r="W5" i="12" s="1"/>
  <c r="G30" i="7"/>
  <c r="G5" i="12" s="1"/>
  <c r="Z29" i="7"/>
  <c r="AA4" i="12" s="1"/>
  <c r="X29" i="7"/>
  <c r="Y4" i="12" s="1"/>
  <c r="W29" i="7"/>
  <c r="X4" i="12" s="1"/>
  <c r="V29" i="7"/>
  <c r="W4" i="12" s="1"/>
  <c r="G29" i="7"/>
  <c r="G4" i="12" s="1"/>
  <c r="Z28" i="7"/>
  <c r="AA3" i="12" s="1"/>
  <c r="Y28" i="7"/>
  <c r="Z3" i="12" s="1"/>
  <c r="X28" i="7"/>
  <c r="Y3" i="12" s="1"/>
  <c r="W28" i="7"/>
  <c r="X3" i="12" s="1"/>
  <c r="V28" i="7"/>
  <c r="W3" i="12" s="1"/>
  <c r="G28" i="7"/>
  <c r="G3" i="12" s="1"/>
  <c r="Z27" i="7"/>
  <c r="AA2" i="12" s="1"/>
  <c r="Y27" i="7"/>
  <c r="Z2" i="12" s="1"/>
  <c r="X27" i="7"/>
  <c r="Y2" i="12" s="1"/>
  <c r="W27" i="7"/>
  <c r="X2" i="12" s="1"/>
  <c r="V27" i="7"/>
  <c r="W2" i="12" s="1"/>
  <c r="G27" i="7"/>
  <c r="G2" i="12" s="1"/>
  <c r="Z26" i="7"/>
  <c r="AA14" i="11" s="1"/>
  <c r="X26" i="7"/>
  <c r="Y14" i="11" s="1"/>
  <c r="W26" i="7"/>
  <c r="V26" i="7"/>
  <c r="W14" i="11" s="1"/>
  <c r="G26" i="7"/>
  <c r="G14" i="11" s="1"/>
  <c r="Z25" i="7"/>
  <c r="AA13" i="11" s="1"/>
  <c r="X25" i="7"/>
  <c r="Y13" i="11" s="1"/>
  <c r="W25" i="7"/>
  <c r="X13" i="11" s="1"/>
  <c r="V25" i="7"/>
  <c r="W13" i="11" s="1"/>
  <c r="G25" i="7"/>
  <c r="G13" i="11" s="1"/>
  <c r="Z24" i="7"/>
  <c r="AA12" i="11" s="1"/>
  <c r="X24" i="7"/>
  <c r="Y12" i="11" s="1"/>
  <c r="W24" i="7"/>
  <c r="X12" i="11" s="1"/>
  <c r="V24" i="7"/>
  <c r="W12" i="11" s="1"/>
  <c r="G24" i="7"/>
  <c r="G12" i="11" s="1"/>
  <c r="Z23" i="7"/>
  <c r="AA11" i="11" s="1"/>
  <c r="X23" i="7"/>
  <c r="Y11" i="11" s="1"/>
  <c r="W23" i="7"/>
  <c r="X11" i="11" s="1"/>
  <c r="V23" i="7"/>
  <c r="W11" i="11" s="1"/>
  <c r="I23" i="7"/>
  <c r="I11" i="11" s="1"/>
  <c r="G23" i="7"/>
  <c r="G11" i="11" s="1"/>
  <c r="Z22" i="7"/>
  <c r="AA10" i="11" s="1"/>
  <c r="X22" i="7"/>
  <c r="Y10" i="11" s="1"/>
  <c r="W22" i="7"/>
  <c r="X10" i="11" s="1"/>
  <c r="V22" i="7"/>
  <c r="W10" i="11" s="1"/>
  <c r="G22" i="7"/>
  <c r="G10" i="11" s="1"/>
  <c r="Z21" i="7"/>
  <c r="AA9" i="11" s="1"/>
  <c r="Y21" i="7"/>
  <c r="Z9" i="11" s="1"/>
  <c r="X21" i="7"/>
  <c r="Y9" i="11" s="1"/>
  <c r="W21" i="7"/>
  <c r="X9" i="11" s="1"/>
  <c r="V21" i="7"/>
  <c r="W9" i="11" s="1"/>
  <c r="G21" i="7"/>
  <c r="G9" i="11" s="1"/>
  <c r="Z20" i="7"/>
  <c r="AA8" i="11" s="1"/>
  <c r="Y20" i="7"/>
  <c r="Z8" i="11" s="1"/>
  <c r="X20" i="7"/>
  <c r="Y8" i="11" s="1"/>
  <c r="W20" i="7"/>
  <c r="X8" i="11" s="1"/>
  <c r="V20" i="7"/>
  <c r="W8" i="11" s="1"/>
  <c r="G20" i="7"/>
  <c r="G8" i="11" s="1"/>
  <c r="Z19" i="7"/>
  <c r="AA7" i="11" s="1"/>
  <c r="Y19" i="7"/>
  <c r="Z7" i="11" s="1"/>
  <c r="X19" i="7"/>
  <c r="Y7" i="11" s="1"/>
  <c r="W19" i="7"/>
  <c r="X7" i="11" s="1"/>
  <c r="V19" i="7"/>
  <c r="W7" i="11" s="1"/>
  <c r="G19" i="7"/>
  <c r="G7" i="11" s="1"/>
  <c r="Z18" i="7"/>
  <c r="AA6" i="11" s="1"/>
  <c r="X18" i="7"/>
  <c r="Y6" i="11" s="1"/>
  <c r="W18" i="7"/>
  <c r="X6" i="11" s="1"/>
  <c r="V18" i="7"/>
  <c r="W6" i="11" s="1"/>
  <c r="G18" i="7"/>
  <c r="G6" i="11" s="1"/>
  <c r="Z17" i="7"/>
  <c r="AA5" i="11" s="1"/>
  <c r="Y17" i="7"/>
  <c r="Z5" i="11" s="1"/>
  <c r="X17" i="7"/>
  <c r="Y5" i="11" s="1"/>
  <c r="W17" i="7"/>
  <c r="X5" i="11" s="1"/>
  <c r="V17" i="7"/>
  <c r="W5" i="11" s="1"/>
  <c r="G17" i="7"/>
  <c r="G5" i="11" s="1"/>
  <c r="Z16" i="7"/>
  <c r="AA4" i="11" s="1"/>
  <c r="Y16" i="7"/>
  <c r="Z4" i="11" s="1"/>
  <c r="X16" i="7"/>
  <c r="Y4" i="11" s="1"/>
  <c r="W16" i="7"/>
  <c r="X4" i="11" s="1"/>
  <c r="V16" i="7"/>
  <c r="G16" i="7"/>
  <c r="G4" i="11" s="1"/>
  <c r="Z15" i="7"/>
  <c r="AA3" i="11" s="1"/>
  <c r="Y15" i="7"/>
  <c r="Z3" i="11" s="1"/>
  <c r="X15" i="7"/>
  <c r="Y3" i="11" s="1"/>
  <c r="W15" i="7"/>
  <c r="X3" i="11" s="1"/>
  <c r="V15" i="7"/>
  <c r="W3" i="11" s="1"/>
  <c r="G15" i="7"/>
  <c r="G3" i="11" s="1"/>
  <c r="Z14" i="7"/>
  <c r="AA2" i="11" s="1"/>
  <c r="X14" i="7"/>
  <c r="Y2" i="11" s="1"/>
  <c r="W14" i="7"/>
  <c r="X2" i="11" s="1"/>
  <c r="V14" i="7"/>
  <c r="W2" i="11" s="1"/>
  <c r="G14" i="7"/>
  <c r="G2" i="11" s="1"/>
  <c r="Z13" i="7"/>
  <c r="AA13" i="10" s="1"/>
  <c r="Y13" i="7"/>
  <c r="Z13" i="10" s="1"/>
  <c r="X13" i="7"/>
  <c r="Y13" i="10" s="1"/>
  <c r="W13" i="7"/>
  <c r="X13" i="10" s="1"/>
  <c r="V13" i="7"/>
  <c r="W13" i="10" s="1"/>
  <c r="G13" i="7"/>
  <c r="G13" i="10" s="1"/>
  <c r="Z12" i="7"/>
  <c r="AA12" i="10" s="1"/>
  <c r="Y12" i="7"/>
  <c r="Z12" i="10" s="1"/>
  <c r="X12" i="7"/>
  <c r="Y12" i="10" s="1"/>
  <c r="W12" i="7"/>
  <c r="X12" i="10" s="1"/>
  <c r="V12" i="7"/>
  <c r="W12" i="10" s="1"/>
  <c r="G12" i="7"/>
  <c r="G12" i="10" s="1"/>
  <c r="Z11" i="7"/>
  <c r="AA11" i="10" s="1"/>
  <c r="Y11" i="7"/>
  <c r="Z11" i="10" s="1"/>
  <c r="X11" i="7"/>
  <c r="Y11" i="10" s="1"/>
  <c r="W11" i="7"/>
  <c r="X11" i="10" s="1"/>
  <c r="V11" i="7"/>
  <c r="W11" i="10" s="1"/>
  <c r="G11" i="7"/>
  <c r="G11" i="10" s="1"/>
  <c r="Z10" i="7"/>
  <c r="X10" i="7"/>
  <c r="Y10" i="10" s="1"/>
  <c r="W10" i="7"/>
  <c r="X10" i="10" s="1"/>
  <c r="V10" i="7"/>
  <c r="W10" i="10" s="1"/>
  <c r="G10" i="7"/>
  <c r="G10" i="10" s="1"/>
  <c r="Z9" i="7"/>
  <c r="AA9" i="10" s="1"/>
  <c r="Y9" i="7"/>
  <c r="Z9" i="10" s="1"/>
  <c r="X9" i="7"/>
  <c r="Y9" i="10" s="1"/>
  <c r="W9" i="7"/>
  <c r="X9" i="10" s="1"/>
  <c r="V9" i="7"/>
  <c r="W9" i="10" s="1"/>
  <c r="G9" i="7"/>
  <c r="G9" i="10" s="1"/>
  <c r="Z8" i="7"/>
  <c r="AA8" i="10" s="1"/>
  <c r="Y8" i="7"/>
  <c r="Z8" i="10" s="1"/>
  <c r="X8" i="7"/>
  <c r="Y8" i="10" s="1"/>
  <c r="W8" i="7"/>
  <c r="X8" i="10" s="1"/>
  <c r="V8" i="7"/>
  <c r="W8" i="10" s="1"/>
  <c r="G8" i="7"/>
  <c r="G8" i="10" s="1"/>
  <c r="Z7" i="7"/>
  <c r="AA7" i="10" s="1"/>
  <c r="Y7" i="7"/>
  <c r="Z7" i="10" s="1"/>
  <c r="X7" i="7"/>
  <c r="Y7" i="10" s="1"/>
  <c r="W7" i="7"/>
  <c r="X7" i="10" s="1"/>
  <c r="V7" i="7"/>
  <c r="W7" i="10" s="1"/>
  <c r="G7" i="7"/>
  <c r="G7" i="10" s="1"/>
  <c r="Z6" i="7"/>
  <c r="AA6" i="10" s="1"/>
  <c r="X6" i="7"/>
  <c r="Y6" i="10" s="1"/>
  <c r="W6" i="7"/>
  <c r="X6" i="10" s="1"/>
  <c r="V6" i="7"/>
  <c r="W6" i="10" s="1"/>
  <c r="G6" i="7"/>
  <c r="G6" i="10" s="1"/>
  <c r="Z5" i="7"/>
  <c r="AA5" i="10" s="1"/>
  <c r="Y5" i="7"/>
  <c r="Z5" i="10" s="1"/>
  <c r="X5" i="7"/>
  <c r="Y5" i="10" s="1"/>
  <c r="W5" i="7"/>
  <c r="X5" i="10" s="1"/>
  <c r="V5" i="7"/>
  <c r="W5" i="10" s="1"/>
  <c r="G5" i="7"/>
  <c r="G5" i="10" s="1"/>
  <c r="Z4" i="7"/>
  <c r="AA4" i="10" s="1"/>
  <c r="Y4" i="7"/>
  <c r="Z4" i="10" s="1"/>
  <c r="X4" i="7"/>
  <c r="Y4" i="10" s="1"/>
  <c r="W4" i="7"/>
  <c r="X4" i="10" s="1"/>
  <c r="V4" i="7"/>
  <c r="W4" i="10" s="1"/>
  <c r="G4" i="7"/>
  <c r="G4" i="10" s="1"/>
  <c r="Z3" i="7"/>
  <c r="AA3" i="10" s="1"/>
  <c r="Y3" i="7"/>
  <c r="Z3" i="10" s="1"/>
  <c r="X3" i="7"/>
  <c r="Y3" i="10" s="1"/>
  <c r="W3" i="7"/>
  <c r="X3" i="10" s="1"/>
  <c r="V3" i="7"/>
  <c r="W3" i="10" s="1"/>
  <c r="G3" i="7"/>
  <c r="G3" i="10" s="1"/>
  <c r="Z2" i="7"/>
  <c r="X2" i="7"/>
  <c r="Y2" i="10" s="1"/>
  <c r="W2" i="7"/>
  <c r="X2" i="10" s="1"/>
  <c r="V2" i="7"/>
  <c r="W2" i="10" s="1"/>
  <c r="I2" i="7"/>
  <c r="I2" i="10" s="1"/>
  <c r="G2" i="7"/>
  <c r="G2" i="10" s="1"/>
  <c r="C44" i="6"/>
  <c r="J42" i="6"/>
  <c r="E42" i="6"/>
  <c r="J41" i="6"/>
  <c r="F41" i="6"/>
  <c r="J40" i="6"/>
  <c r="J39" i="6"/>
  <c r="G39" i="6"/>
  <c r="D39" i="6"/>
  <c r="C39" i="6"/>
  <c r="B39" i="6"/>
  <c r="J38" i="6"/>
  <c r="J37" i="6"/>
  <c r="D36" i="6"/>
  <c r="C36" i="6"/>
  <c r="B36" i="6"/>
  <c r="J35" i="6"/>
  <c r="J34" i="6"/>
  <c r="D34" i="6"/>
  <c r="B34" i="6"/>
  <c r="J33" i="6"/>
  <c r="F33" i="6"/>
  <c r="J32" i="6"/>
  <c r="G32" i="6"/>
  <c r="E32" i="6"/>
  <c r="C32" i="6"/>
  <c r="B32" i="6"/>
  <c r="F31" i="6"/>
  <c r="J30" i="6"/>
  <c r="J27" i="6"/>
  <c r="C27" i="6"/>
  <c r="B27" i="6"/>
  <c r="J26" i="6"/>
  <c r="J25" i="6"/>
  <c r="J23" i="6"/>
  <c r="B22" i="6"/>
  <c r="G21" i="6"/>
  <c r="J20" i="6"/>
  <c r="F20" i="6"/>
  <c r="J19" i="6"/>
  <c r="J17" i="6"/>
  <c r="J16" i="6"/>
  <c r="B16" i="6"/>
  <c r="J13" i="6"/>
  <c r="J12" i="6"/>
  <c r="J11" i="6"/>
  <c r="J8" i="6"/>
  <c r="E7" i="6"/>
  <c r="J6" i="6"/>
  <c r="D6" i="6"/>
  <c r="J5" i="6"/>
  <c r="J4" i="6"/>
  <c r="G4" i="6"/>
  <c r="E3" i="6"/>
  <c r="F2" i="6"/>
  <c r="G1" i="6"/>
  <c r="F1" i="6"/>
  <c r="E1" i="6"/>
  <c r="D1" i="6"/>
  <c r="C1" i="6"/>
  <c r="B1" i="6"/>
  <c r="H16" i="9" l="1"/>
  <c r="G45" i="6"/>
  <c r="X5" i="12"/>
  <c r="Y30" i="7"/>
  <c r="Z5" i="12" s="1"/>
  <c r="X19" i="14"/>
  <c r="Y93" i="7"/>
  <c r="Z19" i="14" s="1"/>
  <c r="X3" i="17"/>
  <c r="Y134" i="7"/>
  <c r="Z3" i="17" s="1"/>
  <c r="X14" i="21"/>
  <c r="Y212" i="7"/>
  <c r="Z14" i="21" s="1"/>
  <c r="Y23" i="7"/>
  <c r="Z11" i="11" s="1"/>
  <c r="X14" i="11"/>
  <c r="Y26" i="7"/>
  <c r="Z14" i="11" s="1"/>
  <c r="Y41" i="7"/>
  <c r="Z16" i="12" s="1"/>
  <c r="Y48" i="7"/>
  <c r="Z7" i="13" s="1"/>
  <c r="X6" i="14"/>
  <c r="Y80" i="7"/>
  <c r="Z6" i="14" s="1"/>
  <c r="X7" i="16"/>
  <c r="Y122" i="7"/>
  <c r="Z7" i="16" s="1"/>
  <c r="Y159" i="7"/>
  <c r="Z6" i="18" s="1"/>
  <c r="X12" i="20"/>
  <c r="Y187" i="7"/>
  <c r="Z12" i="20" s="1"/>
  <c r="X2" i="21"/>
  <c r="Y200" i="7"/>
  <c r="Z2" i="21" s="1"/>
  <c r="Y225" i="7"/>
  <c r="Z7" i="22" s="1"/>
  <c r="X23" i="22"/>
  <c r="Y241" i="7"/>
  <c r="Z23" i="22" s="1"/>
  <c r="Y258" i="7"/>
  <c r="Z14" i="8" s="1"/>
  <c r="K22" i="8"/>
  <c r="J45" i="6" s="1"/>
  <c r="P35" i="13"/>
  <c r="X9" i="19"/>
  <c r="Y171" i="7"/>
  <c r="Z9" i="19" s="1"/>
  <c r="Y2" i="7"/>
  <c r="Z2" i="10" s="1"/>
  <c r="Y6" i="7"/>
  <c r="Z6" i="10" s="1"/>
  <c r="Y10" i="7"/>
  <c r="Z10" i="10" s="1"/>
  <c r="Y14" i="7"/>
  <c r="Z2" i="11" s="1"/>
  <c r="Y18" i="7"/>
  <c r="Z6" i="11" s="1"/>
  <c r="Y22" i="7"/>
  <c r="Z10" i="11" s="1"/>
  <c r="Y37" i="7"/>
  <c r="Z12" i="12" s="1"/>
  <c r="Y40" i="7"/>
  <c r="Z15" i="12" s="1"/>
  <c r="Y44" i="7"/>
  <c r="Z3" i="13" s="1"/>
  <c r="X6" i="13"/>
  <c r="Y47" i="7"/>
  <c r="Z6" i="13" s="1"/>
  <c r="Y61" i="7"/>
  <c r="Z20" i="13" s="1"/>
  <c r="X15" i="14"/>
  <c r="Y89" i="7"/>
  <c r="Z15" i="14" s="1"/>
  <c r="X9" i="15"/>
  <c r="Y105" i="7"/>
  <c r="Z9" i="15" s="1"/>
  <c r="X11" i="17"/>
  <c r="Y142" i="7"/>
  <c r="Z11" i="17" s="1"/>
  <c r="X5" i="18"/>
  <c r="Y158" i="7"/>
  <c r="Z5" i="18" s="1"/>
  <c r="X6" i="22"/>
  <c r="Y224" i="7"/>
  <c r="Z6" i="22" s="1"/>
  <c r="X13" i="8"/>
  <c r="Y257" i="7"/>
  <c r="Z13" i="8" s="1"/>
  <c r="N20" i="8"/>
  <c r="K20" i="12"/>
  <c r="J10" i="6" s="1"/>
  <c r="X23" i="13"/>
  <c r="X14" i="12"/>
  <c r="Y39" i="7"/>
  <c r="Z14" i="12" s="1"/>
  <c r="X2" i="13"/>
  <c r="Y43" i="7"/>
  <c r="Z2" i="13" s="1"/>
  <c r="X19" i="13"/>
  <c r="Y60" i="7"/>
  <c r="Z19" i="13" s="1"/>
  <c r="X2" i="14"/>
  <c r="Y76" i="7"/>
  <c r="Z2" i="14" s="1"/>
  <c r="X15" i="16"/>
  <c r="Y130" i="7"/>
  <c r="Z15" i="16" s="1"/>
  <c r="X23" i="17"/>
  <c r="Y154" i="7"/>
  <c r="Z23" i="17" s="1"/>
  <c r="X5" i="19"/>
  <c r="Y167" i="7"/>
  <c r="Z5" i="19" s="1"/>
  <c r="X8" i="20"/>
  <c r="Y183" i="7"/>
  <c r="Z8" i="20" s="1"/>
  <c r="X10" i="21"/>
  <c r="Y208" i="7"/>
  <c r="Z10" i="21" s="1"/>
  <c r="C13" i="6"/>
  <c r="Y29" i="7"/>
  <c r="Z4" i="12" s="1"/>
  <c r="Y36" i="7"/>
  <c r="Z11" i="12" s="1"/>
  <c r="X11" i="14"/>
  <c r="Y85" i="7"/>
  <c r="Z11" i="14" s="1"/>
  <c r="X5" i="15"/>
  <c r="Y101" i="7"/>
  <c r="Z5" i="15" s="1"/>
  <c r="X3" i="16"/>
  <c r="Y118" i="7"/>
  <c r="Z3" i="16" s="1"/>
  <c r="X19" i="17"/>
  <c r="Y150" i="7"/>
  <c r="Z19" i="17" s="1"/>
  <c r="Y180" i="7"/>
  <c r="Z5" i="20" s="1"/>
  <c r="Y196" i="7"/>
  <c r="Z21" i="20" s="1"/>
  <c r="X2" i="22"/>
  <c r="Y220" i="7"/>
  <c r="Z2" i="22" s="1"/>
  <c r="X18" i="22"/>
  <c r="Y236" i="7"/>
  <c r="Z18" i="22" s="1"/>
  <c r="Y253" i="7"/>
  <c r="Z9" i="8" s="1"/>
  <c r="X9" i="8"/>
  <c r="P20" i="8"/>
  <c r="T18" i="12"/>
  <c r="X10" i="22"/>
  <c r="Y228" i="7"/>
  <c r="Z10" i="22" s="1"/>
  <c r="Y261" i="7"/>
  <c r="Z17" i="8" s="1"/>
  <c r="X17" i="8"/>
  <c r="G28" i="6"/>
  <c r="Y25" i="7"/>
  <c r="Z13" i="11" s="1"/>
  <c r="Y32" i="7"/>
  <c r="Z7" i="12" s="1"/>
  <c r="X15" i="13"/>
  <c r="Y56" i="7"/>
  <c r="Z15" i="13" s="1"/>
  <c r="X31" i="13"/>
  <c r="Y72" i="7"/>
  <c r="Z31" i="13" s="1"/>
  <c r="X7" i="17"/>
  <c r="Y138" i="7"/>
  <c r="Z7" i="17" s="1"/>
  <c r="X4" i="20"/>
  <c r="Y179" i="7"/>
  <c r="Z4" i="20" s="1"/>
  <c r="X20" i="20"/>
  <c r="Y195" i="7"/>
  <c r="Z20" i="20" s="1"/>
  <c r="Y217" i="7"/>
  <c r="Z19" i="21" s="1"/>
  <c r="Y233" i="7"/>
  <c r="Z15" i="22" s="1"/>
  <c r="X5" i="8"/>
  <c r="Y249" i="7"/>
  <c r="Z5" i="8" s="1"/>
  <c r="Q20" i="8"/>
  <c r="X2" i="16"/>
  <c r="Y117" i="7"/>
  <c r="Z2" i="16" s="1"/>
  <c r="X11" i="16"/>
  <c r="Y126" i="7"/>
  <c r="Z11" i="16" s="1"/>
  <c r="X10" i="18"/>
  <c r="Y163" i="7"/>
  <c r="Z10" i="18" s="1"/>
  <c r="X6" i="21"/>
  <c r="Y204" i="7"/>
  <c r="Z6" i="21" s="1"/>
  <c r="X18" i="21"/>
  <c r="Y216" i="7"/>
  <c r="Z18" i="21" s="1"/>
  <c r="X14" i="22"/>
  <c r="Y232" i="7"/>
  <c r="Z14" i="22" s="1"/>
  <c r="R20" i="8"/>
  <c r="X23" i="14"/>
  <c r="Y97" i="7"/>
  <c r="Z23" i="14" s="1"/>
  <c r="Y24" i="7"/>
  <c r="Z12" i="11" s="1"/>
  <c r="Y31" i="7"/>
  <c r="Z6" i="12" s="1"/>
  <c r="X9" i="12"/>
  <c r="Y34" i="7"/>
  <c r="Z9" i="12" s="1"/>
  <c r="X11" i="13"/>
  <c r="Y52" i="7"/>
  <c r="Z11" i="13" s="1"/>
  <c r="X27" i="13"/>
  <c r="Y68" i="7"/>
  <c r="Z27" i="13" s="1"/>
  <c r="L10" i="14"/>
  <c r="Z84" i="7"/>
  <c r="AA10" i="14" s="1"/>
  <c r="X84" i="7"/>
  <c r="Y10" i="14" s="1"/>
  <c r="X13" i="15"/>
  <c r="Y109" i="7"/>
  <c r="Z13" i="15" s="1"/>
  <c r="X17" i="15"/>
  <c r="Y113" i="7"/>
  <c r="Z17" i="15" s="1"/>
  <c r="X15" i="17"/>
  <c r="Y146" i="7"/>
  <c r="Z15" i="17" s="1"/>
  <c r="X13" i="19"/>
  <c r="Y175" i="7"/>
  <c r="Z13" i="19" s="1"/>
  <c r="X16" i="20"/>
  <c r="Y191" i="7"/>
  <c r="Z16" i="20" s="1"/>
  <c r="X27" i="22"/>
  <c r="Y245" i="7"/>
  <c r="Z27" i="22" s="1"/>
  <c r="N18" i="12"/>
  <c r="P14" i="10"/>
  <c r="O15" i="11"/>
  <c r="S18" i="12"/>
  <c r="K16" i="10"/>
  <c r="J2" i="6" s="1"/>
  <c r="R15" i="11"/>
  <c r="T14" i="10"/>
  <c r="S15" i="11"/>
  <c r="O18" i="12"/>
  <c r="R35" i="13"/>
  <c r="Q21" i="15"/>
  <c r="Y38" i="7"/>
  <c r="Z13" i="12" s="1"/>
  <c r="Y51" i="7"/>
  <c r="Z10" i="13" s="1"/>
  <c r="Y55" i="7"/>
  <c r="Z14" i="13" s="1"/>
  <c r="Y59" i="7"/>
  <c r="Z18" i="13" s="1"/>
  <c r="Y63" i="7"/>
  <c r="Z22" i="13" s="1"/>
  <c r="Y67" i="7"/>
  <c r="Z26" i="13" s="1"/>
  <c r="Y71" i="7"/>
  <c r="Z30" i="13" s="1"/>
  <c r="Y75" i="7"/>
  <c r="Z34" i="13" s="1"/>
  <c r="Y79" i="7"/>
  <c r="Z5" i="14" s="1"/>
  <c r="Y83" i="7"/>
  <c r="Z9" i="14" s="1"/>
  <c r="Y84" i="7"/>
  <c r="Z10" i="14" s="1"/>
  <c r="Y88" i="7"/>
  <c r="Z14" i="14" s="1"/>
  <c r="Y92" i="7"/>
  <c r="Z18" i="14" s="1"/>
  <c r="Y96" i="7"/>
  <c r="Z22" i="14" s="1"/>
  <c r="Y100" i="7"/>
  <c r="Z4" i="15" s="1"/>
  <c r="Y104" i="7"/>
  <c r="Z8" i="15" s="1"/>
  <c r="Y108" i="7"/>
  <c r="Z12" i="15" s="1"/>
  <c r="Y121" i="7"/>
  <c r="Z6" i="16" s="1"/>
  <c r="Y125" i="7"/>
  <c r="Z10" i="16" s="1"/>
  <c r="Y129" i="7"/>
  <c r="Z14" i="16" s="1"/>
  <c r="Y133" i="7"/>
  <c r="Z2" i="17" s="1"/>
  <c r="Y137" i="7"/>
  <c r="Z6" i="17" s="1"/>
  <c r="Y141" i="7"/>
  <c r="Z10" i="17" s="1"/>
  <c r="Y145" i="7"/>
  <c r="Z14" i="17" s="1"/>
  <c r="Y149" i="7"/>
  <c r="Z18" i="17" s="1"/>
  <c r="Y162" i="7"/>
  <c r="Z9" i="18" s="1"/>
  <c r="Y166" i="7"/>
  <c r="Z4" i="19" s="1"/>
  <c r="Y170" i="7"/>
  <c r="Z8" i="19" s="1"/>
  <c r="Y199" i="7"/>
  <c r="Z24" i="20" s="1"/>
  <c r="Y203" i="7"/>
  <c r="Z5" i="21" s="1"/>
  <c r="Y207" i="7"/>
  <c r="Z9" i="21" s="1"/>
  <c r="Y211" i="7"/>
  <c r="Z13" i="21" s="1"/>
  <c r="Y215" i="7"/>
  <c r="Z17" i="21" s="1"/>
  <c r="X3" i="8"/>
  <c r="P18" i="12"/>
  <c r="S35" i="13"/>
  <c r="Y174" i="7"/>
  <c r="Z12" i="19" s="1"/>
  <c r="Y178" i="7"/>
  <c r="Z3" i="20" s="1"/>
  <c r="Y182" i="7"/>
  <c r="Z7" i="20" s="1"/>
  <c r="Y186" i="7"/>
  <c r="Z11" i="20" s="1"/>
  <c r="Y190" i="7"/>
  <c r="Z15" i="20" s="1"/>
  <c r="Y194" i="7"/>
  <c r="Z19" i="20" s="1"/>
  <c r="Y198" i="7"/>
  <c r="Z23" i="20" s="1"/>
  <c r="Y219" i="7"/>
  <c r="Z21" i="21" s="1"/>
  <c r="Y223" i="7"/>
  <c r="Z5" i="22" s="1"/>
  <c r="Y227" i="7"/>
  <c r="Z9" i="22" s="1"/>
  <c r="Y231" i="7"/>
  <c r="Z13" i="22" s="1"/>
  <c r="Y235" i="7"/>
  <c r="Z17" i="22" s="1"/>
  <c r="Y260" i="7"/>
  <c r="Z16" i="8" s="1"/>
  <c r="N14" i="10"/>
  <c r="K17" i="10"/>
  <c r="J3" i="6" s="1"/>
  <c r="Q18" i="12"/>
  <c r="T35" i="13"/>
  <c r="Y107" i="7"/>
  <c r="Z11" i="15" s="1"/>
  <c r="Y120" i="7"/>
  <c r="Z5" i="16" s="1"/>
  <c r="Y124" i="7"/>
  <c r="Z9" i="16" s="1"/>
  <c r="Y128" i="7"/>
  <c r="Z13" i="16" s="1"/>
  <c r="Y132" i="7"/>
  <c r="Z17" i="16" s="1"/>
  <c r="Y136" i="7"/>
  <c r="Z5" i="17" s="1"/>
  <c r="Y140" i="7"/>
  <c r="Z9" i="17" s="1"/>
  <c r="Y144" i="7"/>
  <c r="Z13" i="17" s="1"/>
  <c r="Y148" i="7"/>
  <c r="Z17" i="17" s="1"/>
  <c r="Y152" i="7"/>
  <c r="Z21" i="17" s="1"/>
  <c r="Y161" i="7"/>
  <c r="Z8" i="18" s="1"/>
  <c r="Y165" i="7"/>
  <c r="Z3" i="19" s="1"/>
  <c r="Y169" i="7"/>
  <c r="Z7" i="19" s="1"/>
  <c r="Y202" i="7"/>
  <c r="Z4" i="21" s="1"/>
  <c r="Y206" i="7"/>
  <c r="Z8" i="21" s="1"/>
  <c r="Y210" i="7"/>
  <c r="Z12" i="21" s="1"/>
  <c r="Y214" i="7"/>
  <c r="Z16" i="21" s="1"/>
  <c r="Y239" i="7"/>
  <c r="Z21" i="22" s="1"/>
  <c r="Y243" i="7"/>
  <c r="Z25" i="22" s="1"/>
  <c r="O14" i="10"/>
  <c r="N15" i="11"/>
  <c r="K20" i="11"/>
  <c r="J7" i="6" s="1"/>
  <c r="R18" i="12"/>
  <c r="J37" i="13"/>
  <c r="J14" i="6" s="1"/>
  <c r="P18" i="16"/>
  <c r="T24" i="14"/>
  <c r="O21" i="15"/>
  <c r="P21" i="15"/>
  <c r="T24" i="17"/>
  <c r="P28" i="22"/>
  <c r="N35" i="13"/>
  <c r="K30" i="14"/>
  <c r="J21" i="6" s="1"/>
  <c r="Q18" i="16"/>
  <c r="O24" i="14"/>
  <c r="R21" i="15"/>
  <c r="R18" i="16"/>
  <c r="J38" i="13"/>
  <c r="J15" i="6" s="1"/>
  <c r="P24" i="14"/>
  <c r="K24" i="15"/>
  <c r="J24" i="6" s="1"/>
  <c r="S21" i="15"/>
  <c r="K20" i="16"/>
  <c r="J28" i="6" s="1"/>
  <c r="Q35" i="13"/>
  <c r="Q24" i="14"/>
  <c r="K22" i="15"/>
  <c r="J22" i="6" s="1"/>
  <c r="T15" i="19"/>
  <c r="O28" i="22"/>
  <c r="N24" i="17"/>
  <c r="O24" i="17"/>
  <c r="P11" i="18"/>
  <c r="O15" i="19"/>
  <c r="Q22" i="21"/>
  <c r="R28" i="22"/>
  <c r="P24" i="17"/>
  <c r="K25" i="17"/>
  <c r="J29" i="6" s="1"/>
  <c r="Q25" i="20"/>
  <c r="S28" i="22"/>
  <c r="K30" i="22"/>
  <c r="J43" i="6" s="1"/>
  <c r="Q24" i="17"/>
  <c r="Q15" i="19"/>
  <c r="R25" i="20"/>
  <c r="T28" i="22"/>
  <c r="R15" i="19"/>
  <c r="S25" i="20"/>
  <c r="K26" i="20"/>
  <c r="J36" i="6" s="1"/>
  <c r="T22" i="21"/>
  <c r="K27" i="17"/>
  <c r="J31" i="6" s="1"/>
  <c r="S24" i="17"/>
  <c r="S15" i="19"/>
  <c r="N28" i="22"/>
  <c r="D4" i="9" l="1"/>
  <c r="C5" i="6"/>
  <c r="E6" i="9"/>
  <c r="D13" i="6"/>
  <c r="F10" i="9"/>
  <c r="E29" i="6"/>
  <c r="D12" i="9"/>
  <c r="C34" i="6"/>
  <c r="H34" i="6" s="1"/>
  <c r="F6" i="9"/>
  <c r="E14" i="6"/>
  <c r="D7" i="9"/>
  <c r="C17" i="6"/>
  <c r="G6" i="9"/>
  <c r="F13" i="6"/>
  <c r="E3" i="9"/>
  <c r="D2" i="6"/>
  <c r="D46" i="6" s="1"/>
  <c r="F12" i="9"/>
  <c r="E34" i="6"/>
  <c r="C22" i="6"/>
  <c r="D8" i="9"/>
  <c r="F8" i="9"/>
  <c r="E24" i="6"/>
  <c r="E11" i="9"/>
  <c r="I11" i="9" s="1"/>
  <c r="D32" i="6"/>
  <c r="H32" i="6" s="1"/>
  <c r="F9" i="9"/>
  <c r="E27" i="6"/>
  <c r="E9" i="9"/>
  <c r="I9" i="9" s="1"/>
  <c r="D27" i="6"/>
  <c r="H27" i="6" s="1"/>
  <c r="D5" i="9"/>
  <c r="C9" i="6"/>
  <c r="C5" i="9"/>
  <c r="B9" i="6"/>
  <c r="H10" i="9"/>
  <c r="G29" i="6"/>
  <c r="H8" i="9"/>
  <c r="G26" i="6"/>
  <c r="H13" i="9"/>
  <c r="G36" i="6"/>
  <c r="F13" i="9"/>
  <c r="E37" i="6"/>
  <c r="C10" i="9"/>
  <c r="B29" i="6"/>
  <c r="C6" i="9"/>
  <c r="B13" i="6"/>
  <c r="H13" i="6" s="1"/>
  <c r="G5" i="9"/>
  <c r="F12" i="6"/>
  <c r="F5" i="9"/>
  <c r="E11" i="6"/>
  <c r="H6" i="9"/>
  <c r="G15" i="6"/>
  <c r="F16" i="9"/>
  <c r="E44" i="6"/>
  <c r="E16" i="9"/>
  <c r="D44" i="6"/>
  <c r="F7" i="9"/>
  <c r="E19" i="6"/>
  <c r="G8" i="9"/>
  <c r="F25" i="6"/>
  <c r="D10" i="9"/>
  <c r="C29" i="6"/>
  <c r="G12" i="9"/>
  <c r="F34" i="6"/>
  <c r="E15" i="9"/>
  <c r="D42" i="6"/>
  <c r="E5" i="9"/>
  <c r="D10" i="6"/>
  <c r="G4" i="9"/>
  <c r="F8" i="6"/>
  <c r="G16" i="9"/>
  <c r="F44" i="6"/>
  <c r="C16" i="9"/>
  <c r="B44" i="6"/>
  <c r="H44" i="6" s="1"/>
  <c r="C42" i="6"/>
  <c r="D15" i="9"/>
  <c r="B42" i="6"/>
  <c r="C15" i="9"/>
  <c r="E10" i="9"/>
  <c r="D30" i="6"/>
  <c r="C4" i="9"/>
  <c r="B5" i="6"/>
  <c r="H5" i="6" s="1"/>
  <c r="C3" i="9"/>
  <c r="B2" i="6"/>
  <c r="F14" i="9"/>
  <c r="I14" i="9" s="1"/>
  <c r="E40" i="6"/>
  <c r="H39" i="6" s="1"/>
  <c r="H15" i="9"/>
  <c r="G43" i="6"/>
  <c r="G5" i="6"/>
  <c r="H4" i="9"/>
  <c r="H17" i="9" s="1"/>
  <c r="E7" i="9"/>
  <c r="D18" i="6"/>
  <c r="H12" i="9"/>
  <c r="G35" i="6"/>
  <c r="G13" i="9"/>
  <c r="F38" i="6"/>
  <c r="G15" i="9"/>
  <c r="F42" i="6"/>
  <c r="G9" i="9"/>
  <c r="F27" i="6"/>
  <c r="D23" i="6"/>
  <c r="E8" i="9"/>
  <c r="D3" i="9"/>
  <c r="D17" i="9" s="1"/>
  <c r="C2" i="6"/>
  <c r="H5" i="9"/>
  <c r="G9" i="6"/>
  <c r="H9" i="6" l="1"/>
  <c r="I4" i="9"/>
  <c r="I16" i="9"/>
  <c r="F17" i="9"/>
  <c r="I13" i="9"/>
  <c r="I5" i="9"/>
  <c r="E17" i="9"/>
  <c r="I12" i="9"/>
  <c r="C46" i="6"/>
  <c r="H36" i="6"/>
  <c r="F46" i="6"/>
  <c r="I8" i="9"/>
  <c r="H16" i="6"/>
  <c r="E46" i="6"/>
  <c r="G46" i="6"/>
  <c r="G17" i="9"/>
  <c r="I6" i="9"/>
  <c r="H22" i="6"/>
  <c r="I7" i="9"/>
  <c r="H42" i="6"/>
  <c r="H2" i="6"/>
  <c r="H1" i="6" s="1"/>
  <c r="B46" i="6"/>
  <c r="B47" i="6" s="1"/>
  <c r="H29" i="6"/>
  <c r="I15" i="9"/>
  <c r="C17" i="9"/>
  <c r="I3" i="9"/>
  <c r="I10" i="9"/>
  <c r="I17" i="9" l="1"/>
  <c r="C18" i="9"/>
</calcChain>
</file>

<file path=xl/sharedStrings.xml><?xml version="1.0" encoding="utf-8"?>
<sst xmlns="http://schemas.openxmlformats.org/spreadsheetml/2006/main" count="3681" uniqueCount="729">
  <si>
    <t># DEPTO</t>
  </si>
  <si>
    <t>DEPARTAMENTO</t>
  </si>
  <si>
    <t>AHUACHAPÁN</t>
  </si>
  <si>
    <t>SANTA ANA</t>
  </si>
  <si>
    <t>SONSONATE</t>
  </si>
  <si>
    <t>CHALATENANGO</t>
  </si>
  <si>
    <t>LA LIBERTAD</t>
  </si>
  <si>
    <t>SAN SALVADOR</t>
  </si>
  <si>
    <t>CUSCATLÁN</t>
  </si>
  <si>
    <t>LA PAZ</t>
  </si>
  <si>
    <t>CABAÑAS</t>
  </si>
  <si>
    <t>SAN VICENTE</t>
  </si>
  <si>
    <t>USULUTAN</t>
  </si>
  <si>
    <t>SAN MIGUEL</t>
  </si>
  <si>
    <t>MORAZÁN</t>
  </si>
  <si>
    <t>LA UNION</t>
  </si>
  <si>
    <t># DISTRITO</t>
  </si>
  <si>
    <t>DISTRITOS</t>
  </si>
  <si>
    <t>APANECA</t>
  </si>
  <si>
    <t>CONCEPCIÓN DE ATACO</t>
  </si>
  <si>
    <t>TACUBA</t>
  </si>
  <si>
    <t>GUAYMANGO</t>
  </si>
  <si>
    <t>JUJUTLA</t>
  </si>
  <si>
    <t>SAN FRANCISCO MENÉNDEZ</t>
  </si>
  <si>
    <t>SAN PEDRO PUXTLA</t>
  </si>
  <si>
    <t>ATIQUIZAYA</t>
  </si>
  <si>
    <t>EL REFUGIO</t>
  </si>
  <si>
    <t>SAN LORENZO</t>
  </si>
  <si>
    <t>TURÍN</t>
  </si>
  <si>
    <t>MASAHUAT</t>
  </si>
  <si>
    <t>METAPÁN</t>
  </si>
  <si>
    <t>SANTA ROSA GUACHIPILÍN</t>
  </si>
  <si>
    <t>TEXISTEPEQUE</t>
  </si>
  <si>
    <t>COATEPEQUE</t>
  </si>
  <si>
    <t>EL CONGO</t>
  </si>
  <si>
    <t>CANDELARIA DE LA FRONTERA</t>
  </si>
  <si>
    <t>CHALCHUAPA</t>
  </si>
  <si>
    <t>EL PORVENIR</t>
  </si>
  <si>
    <t>SAN ANTONIO PAJONAL</t>
  </si>
  <si>
    <t>SAN SEBASTIÁN SALITRILLO</t>
  </si>
  <si>
    <t>SANTIAGO DE LA FRONTERA</t>
  </si>
  <si>
    <t>JUAYÚA</t>
  </si>
  <si>
    <t>NAHUIZALCO</t>
  </si>
  <si>
    <t>SALCOATITÁN</t>
  </si>
  <si>
    <t>SANTA CATARINA MASAHUAT</t>
  </si>
  <si>
    <t>SONZACATE</t>
  </si>
  <si>
    <t>NAHULINGO</t>
  </si>
  <si>
    <t>SAN ANTONIO DEL MONTE</t>
  </si>
  <si>
    <t>SANTO DOMINGO DE GUZMÁN</t>
  </si>
  <si>
    <t>ARMENIA</t>
  </si>
  <si>
    <t>CALUCO</t>
  </si>
  <si>
    <t>CUISNAHUAT</t>
  </si>
  <si>
    <t>IZALCO</t>
  </si>
  <si>
    <t>SAN JULIÁN</t>
  </si>
  <si>
    <t>SANTA ISABEL ISHUATÁN</t>
  </si>
  <si>
    <t>ACAJUTLA</t>
  </si>
  <si>
    <t>CITALÁ</t>
  </si>
  <si>
    <t>LA PALMA</t>
  </si>
  <si>
    <t>SAN IGNACIO</t>
  </si>
  <si>
    <t>AGUA CALIENTE</t>
  </si>
  <si>
    <t>DULCE NOMBRE DE MARÍA</t>
  </si>
  <si>
    <t>EL PARAÍSO</t>
  </si>
  <si>
    <t>LA REINA</t>
  </si>
  <si>
    <t>NUEVA CONCEPCIÓN</t>
  </si>
  <si>
    <t>SAN FERNANDO</t>
  </si>
  <si>
    <t>SAN FRANCISCO MORAZÁN</t>
  </si>
  <si>
    <t>SAN RAFAEL</t>
  </si>
  <si>
    <t>SANTA RITA</t>
  </si>
  <si>
    <t>TEJUTLA</t>
  </si>
  <si>
    <t>ARCATAO</t>
  </si>
  <si>
    <t>AZACUALPA</t>
  </si>
  <si>
    <t>CANCASQUE</t>
  </si>
  <si>
    <t>COMALAPA</t>
  </si>
  <si>
    <t>CONCEPCIÓN QUEZALTEPEQUE</t>
  </si>
  <si>
    <t>EL CARRIZAL</t>
  </si>
  <si>
    <t>LA LAGUNA</t>
  </si>
  <si>
    <t>LAS VUELTAS</t>
  </si>
  <si>
    <t>LAS FLORES</t>
  </si>
  <si>
    <t>NOMBRE DE JESÚS</t>
  </si>
  <si>
    <t>NUEVA TRINIDAD</t>
  </si>
  <si>
    <t>OJOS DE AGUA</t>
  </si>
  <si>
    <t>POTONICO</t>
  </si>
  <si>
    <t>SAN ANTONIO DE LA CRUZ</t>
  </si>
  <si>
    <t>SAN ANTONIO LOS RANCHOS</t>
  </si>
  <si>
    <t>SAN FRANCISCO LEMPA</t>
  </si>
  <si>
    <t>SAN ISIDRO LABRADOR</t>
  </si>
  <si>
    <t>SAN LUIS DEL CARMEN</t>
  </si>
  <si>
    <t>SAN MIGUEL DE MERCEDES</t>
  </si>
  <si>
    <t>QUEZALTEPEQUE</t>
  </si>
  <si>
    <t>SAN MATÍAS</t>
  </si>
  <si>
    <t>SAN PABLO TACACHICO</t>
  </si>
  <si>
    <t>SAN JUAN OPICO</t>
  </si>
  <si>
    <t>CIUDAD ARCE</t>
  </si>
  <si>
    <t>COLÓN</t>
  </si>
  <si>
    <t>JAYAQUE</t>
  </si>
  <si>
    <t>SACACOYO</t>
  </si>
  <si>
    <t>TEPECOYO</t>
  </si>
  <si>
    <t>TALNIQUE</t>
  </si>
  <si>
    <t>ANTIGUO CUSCATLÁN</t>
  </si>
  <si>
    <t>HUIZÚCAR</t>
  </si>
  <si>
    <t>NUEVO CUSCATLÁN</t>
  </si>
  <si>
    <t>SAN JOSÉ VILLANUEVA</t>
  </si>
  <si>
    <t>ZARAGOZA</t>
  </si>
  <si>
    <t>CHILTIUPÁN</t>
  </si>
  <si>
    <t>JICALAPA</t>
  </si>
  <si>
    <t>TAMANIQUE</t>
  </si>
  <si>
    <t>TEOTEPEQUE</t>
  </si>
  <si>
    <t>SANTA TECLA</t>
  </si>
  <si>
    <t>COMASAGUA</t>
  </si>
  <si>
    <t>AGUILARES</t>
  </si>
  <si>
    <t>EL PAISNAL</t>
  </si>
  <si>
    <t>GUAZAPA</t>
  </si>
  <si>
    <t>APOPA</t>
  </si>
  <si>
    <t>NEJAPA</t>
  </si>
  <si>
    <t>ILOPANGO</t>
  </si>
  <si>
    <t>SAN MARTÍN</t>
  </si>
  <si>
    <t>SOYAPANGO</t>
  </si>
  <si>
    <t>TONACATEPEQUE</t>
  </si>
  <si>
    <t>AYUTUXTEPEQUE</t>
  </si>
  <si>
    <t>MEJICANOS</t>
  </si>
  <si>
    <t>CUSCATANCINGO</t>
  </si>
  <si>
    <t>CIUDAD DELGADO</t>
  </si>
  <si>
    <t>SAN MARCOS</t>
  </si>
  <si>
    <t>SANTO TOMÁS</t>
  </si>
  <si>
    <t>SANTIAGO TEXACUANGOS</t>
  </si>
  <si>
    <t>PANCHIMALCO</t>
  </si>
  <si>
    <t>ROSARIO DE MORA</t>
  </si>
  <si>
    <t>CUYULTITÁN</t>
  </si>
  <si>
    <t>OLOCUILTA</t>
  </si>
  <si>
    <t>SAN JUAN TALPA</t>
  </si>
  <si>
    <t>SAN LUIS TALPA</t>
  </si>
  <si>
    <t>SAN PEDRO MASAHUAT</t>
  </si>
  <si>
    <t>TAPALHUACA</t>
  </si>
  <si>
    <t>SAN FRANCISCO CHINAMECA</t>
  </si>
  <si>
    <t>EL ROSARIO</t>
  </si>
  <si>
    <t>JERUSALÉN</t>
  </si>
  <si>
    <t>MERCEDES LA CEIBA</t>
  </si>
  <si>
    <t>PARAÍSO DE OSORIO</t>
  </si>
  <si>
    <t>SAN ANTONIO MASAHUAT</t>
  </si>
  <si>
    <t>SAN EMIGDIO</t>
  </si>
  <si>
    <t>SAN JUAN TEPEZONTES</t>
  </si>
  <si>
    <t>SAN LUIS LA HERRADURA</t>
  </si>
  <si>
    <t>SAN MIGUEL TEPEZONTES</t>
  </si>
  <si>
    <t>SAN PEDRO NONUALCO</t>
  </si>
  <si>
    <t>SANTA MARÍA OSTUMA</t>
  </si>
  <si>
    <t>SANTIAGO NONUALCO</t>
  </si>
  <si>
    <t>SAN JUAN NONUALCO</t>
  </si>
  <si>
    <t>SAN RAFAEL OBRAJUELO</t>
  </si>
  <si>
    <t>ZACATECOLUCA</t>
  </si>
  <si>
    <t>SUCHITOTO</t>
  </si>
  <si>
    <t>SAN JOSÉ GUAYABAL</t>
  </si>
  <si>
    <t>ORATORIO DE CONCEPCIÓN</t>
  </si>
  <si>
    <t>SAN BARTOLOMÉ PERULAPÍA</t>
  </si>
  <si>
    <t>SAN PEDRO PERULAPÁN</t>
  </si>
  <si>
    <t>COJUTEPEQUE</t>
  </si>
  <si>
    <t>CANDELARIA</t>
  </si>
  <si>
    <t>EL CARMEN</t>
  </si>
  <si>
    <t>MONTE SAN JUAN</t>
  </si>
  <si>
    <t>SAN CRISTÓBAL</t>
  </si>
  <si>
    <t>SAN RAFAEL CEDROS</t>
  </si>
  <si>
    <t>SAN RAMÓN</t>
  </si>
  <si>
    <t>SANTA CRUZ ANALQUITO</t>
  </si>
  <si>
    <t>SANTA CRUZ MICHAPA</t>
  </si>
  <si>
    <t>TENANCINGO</t>
  </si>
  <si>
    <t>GUACOTECTI</t>
  </si>
  <si>
    <t>SAN ISIDRO</t>
  </si>
  <si>
    <t>SENSUNTEPEQUE</t>
  </si>
  <si>
    <t>VICTORIA</t>
  </si>
  <si>
    <t>DOLORES</t>
  </si>
  <si>
    <t>CINQUERA</t>
  </si>
  <si>
    <t>ILOBASCO</t>
  </si>
  <si>
    <t>JUTIAPA</t>
  </si>
  <si>
    <t>TEJUTEPEQUE</t>
  </si>
  <si>
    <t>APASTEPEQUE</t>
  </si>
  <si>
    <t>SANTA CLARA</t>
  </si>
  <si>
    <t>SAN ILDEFONSO</t>
  </si>
  <si>
    <t>SAN ESTEBAN CATARINA</t>
  </si>
  <si>
    <t>SAN SEBASTIÁN</t>
  </si>
  <si>
    <t>SANTO DOMINGO</t>
  </si>
  <si>
    <t>GUADALUPE</t>
  </si>
  <si>
    <t>SAN CAYETANO ISTEPEQUE</t>
  </si>
  <si>
    <t>TECOLUCA</t>
  </si>
  <si>
    <t>TEPETITÁN</t>
  </si>
  <si>
    <t>VERAPAZ</t>
  </si>
  <si>
    <t>ALEGRÍA</t>
  </si>
  <si>
    <t>BERLÍN</t>
  </si>
  <si>
    <t>EL TRIUNFO</t>
  </si>
  <si>
    <t>ESTANZUELAS</t>
  </si>
  <si>
    <t>JUCUAPA</t>
  </si>
  <si>
    <t>MERCEDES UMAÑA</t>
  </si>
  <si>
    <t>NUEVA GRANADA</t>
  </si>
  <si>
    <t>SAN BUENAVENTURA</t>
  </si>
  <si>
    <t>SANTIAGO DE MARÍA</t>
  </si>
  <si>
    <t>CALIFORNIA</t>
  </si>
  <si>
    <t>CONCEPCIÓN BATRES</t>
  </si>
  <si>
    <t>EREGUAYQUÍN</t>
  </si>
  <si>
    <t>JUCUARÁN</t>
  </si>
  <si>
    <t>OZATLÁN</t>
  </si>
  <si>
    <t>SANTA ELENA</t>
  </si>
  <si>
    <t>SAN DIONISIO</t>
  </si>
  <si>
    <t>SANTA MARÍA</t>
  </si>
  <si>
    <t>TECAPÁN</t>
  </si>
  <si>
    <t>USULUTÁN</t>
  </si>
  <si>
    <t>JIQUILISCO</t>
  </si>
  <si>
    <t>PUERTO EL TRIUNFO</t>
  </si>
  <si>
    <t>SAN AGUSTÍN</t>
  </si>
  <si>
    <t>SAN FRANCISCO JAVIER</t>
  </si>
  <si>
    <t>CIUDAD BARRIOS</t>
  </si>
  <si>
    <t>SESORI</t>
  </si>
  <si>
    <t>NUEVO EDÉN DE SAN JUAN</t>
  </si>
  <si>
    <t>SAN GERARDO</t>
  </si>
  <si>
    <t>SAN LUIS DE LA REINA</t>
  </si>
  <si>
    <t>CAROLINA</t>
  </si>
  <si>
    <t>SAN ANTONIO</t>
  </si>
  <si>
    <t>CHAPELTIQUE</t>
  </si>
  <si>
    <t>COMACARÁN</t>
  </si>
  <si>
    <t>ULUAZAPA</t>
  </si>
  <si>
    <t>MONCAGUA</t>
  </si>
  <si>
    <t>QUELEPA</t>
  </si>
  <si>
    <t>CHIRILAGUA</t>
  </si>
  <si>
    <t>CHINAMECA</t>
  </si>
  <si>
    <t>EL TRÁNSITO</t>
  </si>
  <si>
    <t>LOLOTIQUE</t>
  </si>
  <si>
    <t>NUEVA GUADALUPE</t>
  </si>
  <si>
    <t>SAN JORGE</t>
  </si>
  <si>
    <t>SAN RAFAEL ORIENTE</t>
  </si>
  <si>
    <t>ARAMBALA</t>
  </si>
  <si>
    <t>CACAOPERA</t>
  </si>
  <si>
    <t>CORINTO</t>
  </si>
  <si>
    <t>JOATECA</t>
  </si>
  <si>
    <t>JOCOAITIQUE</t>
  </si>
  <si>
    <t>MEANGUERA</t>
  </si>
  <si>
    <t>PERQUÍN</t>
  </si>
  <si>
    <t>TOROLA</t>
  </si>
  <si>
    <t>CHILANGA</t>
  </si>
  <si>
    <t>DELICIAS DE CONCEPCIÓN</t>
  </si>
  <si>
    <t>EL DIVISADERO</t>
  </si>
  <si>
    <t>GUALOCOCTI</t>
  </si>
  <si>
    <t>GUATAJIAGUA</t>
  </si>
  <si>
    <t>JOCORO</t>
  </si>
  <si>
    <t>LOLOTIQUILLO</t>
  </si>
  <si>
    <t>OSICALA</t>
  </si>
  <si>
    <t>SAN CARLOS</t>
  </si>
  <si>
    <t>SAN FRANCISCO GOTERA</t>
  </si>
  <si>
    <t>SAN SIMÓN</t>
  </si>
  <si>
    <t>SENSEMBRA</t>
  </si>
  <si>
    <t>SOCIEDAD</t>
  </si>
  <si>
    <t>YAMABAL</t>
  </si>
  <si>
    <t>YOLOAIQUÍN</t>
  </si>
  <si>
    <t>ANAMORÓS</t>
  </si>
  <si>
    <t>BOLÍVAR</t>
  </si>
  <si>
    <t>CONCEPCIÓN DE ORIENTE</t>
  </si>
  <si>
    <t>EL SAUCE</t>
  </si>
  <si>
    <t>LISLIQUE</t>
  </si>
  <si>
    <t>NUEVA ESPARTA</t>
  </si>
  <si>
    <t>PASAQUINA</t>
  </si>
  <si>
    <t>POLORÓS</t>
  </si>
  <si>
    <t>SAN JOSÉ</t>
  </si>
  <si>
    <t>SANTA ROSA DE LIMA</t>
  </si>
  <si>
    <t>CONCHAGUA</t>
  </si>
  <si>
    <t>INTIPUCÁ</t>
  </si>
  <si>
    <t>LA UNIÓN</t>
  </si>
  <si>
    <t>MEANGUERA DEL GOLFO</t>
  </si>
  <si>
    <t>SAN ALEJO</t>
  </si>
  <si>
    <t>YAYANTIQUE</t>
  </si>
  <si>
    <t>YUCUAIQUÍN</t>
  </si>
  <si>
    <t>ITEM</t>
  </si>
  <si>
    <t>MUNICIPIO</t>
  </si>
  <si>
    <t>AHUACHAPÁN CENTRO</t>
  </si>
  <si>
    <t>AHUACHAPÁN NORTE</t>
  </si>
  <si>
    <t>AHUACHAPÁN SUR</t>
  </si>
  <si>
    <t>SANTA ANA CENTRO</t>
  </si>
  <si>
    <t>SANTA ANA ESTE</t>
  </si>
  <si>
    <t>SANTA ANA NORTE</t>
  </si>
  <si>
    <t>SANTA ANA OESTE</t>
  </si>
  <si>
    <t>SONSONATE CENTRO</t>
  </si>
  <si>
    <t>SONSONATE ESTE</t>
  </si>
  <si>
    <t>SONSONATE NORTE</t>
  </si>
  <si>
    <t>SONSONATE OESTE</t>
  </si>
  <si>
    <t>CHALATENANGO CENTRO</t>
  </si>
  <si>
    <t>CHALATENANGO NORTE</t>
  </si>
  <si>
    <t>CHALATENANGO SUR</t>
  </si>
  <si>
    <t>LA LIBERTAD CENTRO</t>
  </si>
  <si>
    <t>LA LIBERTAD COSTA</t>
  </si>
  <si>
    <t>LA LIBERTAD ESTE</t>
  </si>
  <si>
    <t>LA LIBERTAD NORTE</t>
  </si>
  <si>
    <t>LA LIBERTAD OESTE</t>
  </si>
  <si>
    <t>LA LIBERTAD SUR</t>
  </si>
  <si>
    <t>SAN SALVADOR CENTRO</t>
  </si>
  <si>
    <t>SAN SALVADOR ESTE</t>
  </si>
  <si>
    <t>SAN SALVADOR NORTE</t>
  </si>
  <si>
    <t>SAN SALVADOR OESTE</t>
  </si>
  <si>
    <t>SAN SALVADOR SUR</t>
  </si>
  <si>
    <t>LA PAZ   CENTRO</t>
  </si>
  <si>
    <t>LA PAZ ESTE</t>
  </si>
  <si>
    <t>LA PAZ OESTE</t>
  </si>
  <si>
    <t>CUSCATLÁN NORTE</t>
  </si>
  <si>
    <t>CUSCATLÁN SUR</t>
  </si>
  <si>
    <t>CABAÑAS ESTE</t>
  </si>
  <si>
    <t>CABAÑAS OESTE</t>
  </si>
  <si>
    <t>SAN VICENTE NORTE</t>
  </si>
  <si>
    <t>SAN VICENTE SUR</t>
  </si>
  <si>
    <t>USULUTÁN ESTE</t>
  </si>
  <si>
    <t>USULUTÁN NORTE</t>
  </si>
  <si>
    <t>USULUTÁN OESTE</t>
  </si>
  <si>
    <t>SAN MIGUEL CENTRO</t>
  </si>
  <si>
    <t>SAN MIGUEL NORTE</t>
  </si>
  <si>
    <t>SAN MIGUEL OESTE</t>
  </si>
  <si>
    <t>MORAZÁN NORTE</t>
  </si>
  <si>
    <t>MORAZÁN SUR</t>
  </si>
  <si>
    <t>LA UNIÓN NORTE</t>
  </si>
  <si>
    <t>LA UNIÓN SUR</t>
  </si>
  <si>
    <t>No.</t>
  </si>
  <si>
    <t>Distritos internos</t>
  </si>
  <si>
    <t>Area (km²)</t>
  </si>
  <si>
    <t>Poblacion</t>
  </si>
  <si>
    <t>Densidad (Hab/Km²)</t>
  </si>
  <si>
    <t>CODIZONAL</t>
  </si>
  <si>
    <t>DIA</t>
  </si>
  <si>
    <t>MES</t>
  </si>
  <si>
    <t>AÑO</t>
  </si>
  <si>
    <t>SERIE</t>
  </si>
  <si>
    <t>CODIGO</t>
  </si>
  <si>
    <t>NUMERO</t>
  </si>
  <si>
    <t>CORRELATIVO</t>
  </si>
  <si>
    <t xml:space="preserve"># DE DEPARTAMENTO </t>
  </si>
  <si>
    <t>NOMBRE DE DISTRITO</t>
  </si>
  <si>
    <t>ZONA</t>
  </si>
  <si>
    <t>NOMBRE DEPARTAMENTO</t>
  </si>
  <si>
    <t>CENTRO</t>
  </si>
  <si>
    <t>COSTA</t>
  </si>
  <si>
    <t>ESTE</t>
  </si>
  <si>
    <t>NORTE</t>
  </si>
  <si>
    <t>OESTE</t>
  </si>
  <si>
    <t>SUR</t>
  </si>
  <si>
    <t>NO DETERMINADO</t>
  </si>
  <si>
    <t>DISTCODIGOZONA</t>
  </si>
  <si>
    <t>NITDIST</t>
  </si>
  <si>
    <t>NOMBRE DISTRITO ZONA</t>
  </si>
  <si>
    <t>NIT DISTRITO NOMBRE ZONA</t>
  </si>
  <si>
    <t>CODIGO NOMBRE ZONA</t>
  </si>
  <si>
    <t>AREA (KM2)</t>
  </si>
  <si>
    <t>POBLACION</t>
  </si>
  <si>
    <t>DENSIDAD (HAB./KM2)</t>
  </si>
  <si>
    <t>1C</t>
  </si>
  <si>
    <t>01</t>
  </si>
  <si>
    <t>06</t>
  </si>
  <si>
    <t>11</t>
  </si>
  <si>
    <t>001</t>
  </si>
  <si>
    <t>0101</t>
  </si>
  <si>
    <t>AHUACHAPAN</t>
  </si>
  <si>
    <t>-</t>
  </si>
  <si>
    <t xml:space="preserve"> </t>
  </si>
  <si>
    <t>10</t>
  </si>
  <si>
    <t>79</t>
  </si>
  <si>
    <t>0102</t>
  </si>
  <si>
    <t>N1</t>
  </si>
  <si>
    <t>0103</t>
  </si>
  <si>
    <t>0104</t>
  </si>
  <si>
    <t>CONCEPCION DE ATACO</t>
  </si>
  <si>
    <t>0105</t>
  </si>
  <si>
    <t>S1</t>
  </si>
  <si>
    <t>0106</t>
  </si>
  <si>
    <t>0107</t>
  </si>
  <si>
    <t>0108</t>
  </si>
  <si>
    <t>SAN FRANCISCO MENENDEZ</t>
  </si>
  <si>
    <t>0109</t>
  </si>
  <si>
    <t>0110</t>
  </si>
  <si>
    <t>0111</t>
  </si>
  <si>
    <t>0112</t>
  </si>
  <si>
    <t>TURIN</t>
  </si>
  <si>
    <t>O1</t>
  </si>
  <si>
    <t>0201</t>
  </si>
  <si>
    <t>E1</t>
  </si>
  <si>
    <t>0202</t>
  </si>
  <si>
    <t>0203</t>
  </si>
  <si>
    <t>02</t>
  </si>
  <si>
    <t>0204</t>
  </si>
  <si>
    <t>0205</t>
  </si>
  <si>
    <t>0206</t>
  </si>
  <si>
    <t>002</t>
  </si>
  <si>
    <t>0207</t>
  </si>
  <si>
    <t>METAPAN</t>
  </si>
  <si>
    <t>0208</t>
  </si>
  <si>
    <t>0209</t>
  </si>
  <si>
    <t>SAN SEBASTIAN SALITRILLO</t>
  </si>
  <si>
    <t>0210</t>
  </si>
  <si>
    <t>0211</t>
  </si>
  <si>
    <t>SANTA ROSA GUACHIPILIN</t>
  </si>
  <si>
    <t>0212</t>
  </si>
  <si>
    <t>0213</t>
  </si>
  <si>
    <t>0301</t>
  </si>
  <si>
    <t>23</t>
  </si>
  <si>
    <t>78</t>
  </si>
  <si>
    <t>0302</t>
  </si>
  <si>
    <t>03</t>
  </si>
  <si>
    <t>0303</t>
  </si>
  <si>
    <t>0304</t>
  </si>
  <si>
    <t>0305</t>
  </si>
  <si>
    <t>SANTA ISABEL ISHUATAN</t>
  </si>
  <si>
    <t>0306</t>
  </si>
  <si>
    <t>0307</t>
  </si>
  <si>
    <t>JUAYUA</t>
  </si>
  <si>
    <t>0308</t>
  </si>
  <si>
    <t>0309</t>
  </si>
  <si>
    <t>0310</t>
  </si>
  <si>
    <t>SALCOATITAN</t>
  </si>
  <si>
    <t>0311</t>
  </si>
  <si>
    <t>0312</t>
  </si>
  <si>
    <t>SAN JULIAN</t>
  </si>
  <si>
    <t>0313</t>
  </si>
  <si>
    <t>0314</t>
  </si>
  <si>
    <t>SANTO DOMINGO DE GUZMAN</t>
  </si>
  <si>
    <t>0315</t>
  </si>
  <si>
    <t>0316</t>
  </si>
  <si>
    <t>04</t>
  </si>
  <si>
    <t>0401</t>
  </si>
  <si>
    <t>0402</t>
  </si>
  <si>
    <t>0403</t>
  </si>
  <si>
    <t>0404</t>
  </si>
  <si>
    <t>CITALA</t>
  </si>
  <si>
    <t>0405</t>
  </si>
  <si>
    <t>0406</t>
  </si>
  <si>
    <t xml:space="preserve">CONCEPCION QUEZALTEPEQUE </t>
  </si>
  <si>
    <t>0407</t>
  </si>
  <si>
    <t>0408</t>
  </si>
  <si>
    <t>DULCE NOMBRE DE MARIA</t>
  </si>
  <si>
    <t>0409</t>
  </si>
  <si>
    <t>0410</t>
  </si>
  <si>
    <t>EL PARAISO</t>
  </si>
  <si>
    <t>0411</t>
  </si>
  <si>
    <t>0412</t>
  </si>
  <si>
    <t>24</t>
  </si>
  <si>
    <t>30</t>
  </si>
  <si>
    <t>0413</t>
  </si>
  <si>
    <t>0414</t>
  </si>
  <si>
    <t>0415</t>
  </si>
  <si>
    <t>NOMBRE DE JESUS</t>
  </si>
  <si>
    <t>0416</t>
  </si>
  <si>
    <t>NUEVA CONCEPCION</t>
  </si>
  <si>
    <t>0417</t>
  </si>
  <si>
    <t>0418</t>
  </si>
  <si>
    <t>0419</t>
  </si>
  <si>
    <t>0420</t>
  </si>
  <si>
    <t>0421</t>
  </si>
  <si>
    <t>0422</t>
  </si>
  <si>
    <t>0423</t>
  </si>
  <si>
    <t>0424</t>
  </si>
  <si>
    <t>SAN FRANCISCO MORAZAN</t>
  </si>
  <si>
    <t>0425</t>
  </si>
  <si>
    <t>0426</t>
  </si>
  <si>
    <t>0427</t>
  </si>
  <si>
    <t>CANCASTE</t>
  </si>
  <si>
    <t>0428</t>
  </si>
  <si>
    <t>SAN JOSE LAS FLORES</t>
  </si>
  <si>
    <t>0429</t>
  </si>
  <si>
    <t>0430</t>
  </si>
  <si>
    <t>31</t>
  </si>
  <si>
    <t>81</t>
  </si>
  <si>
    <t>0431</t>
  </si>
  <si>
    <t>0432</t>
  </si>
  <si>
    <t>0433</t>
  </si>
  <si>
    <t>0501</t>
  </si>
  <si>
    <t>ANTIGUO CUSCATLAN</t>
  </si>
  <si>
    <t>05</t>
  </si>
  <si>
    <t>0502</t>
  </si>
  <si>
    <t>0503</t>
  </si>
  <si>
    <t>COLON</t>
  </si>
  <si>
    <t>25</t>
  </si>
  <si>
    <t>0504</t>
  </si>
  <si>
    <t>0505</t>
  </si>
  <si>
    <t>CHILTIUPAN</t>
  </si>
  <si>
    <t>0506</t>
  </si>
  <si>
    <t>HUIZUCAR</t>
  </si>
  <si>
    <t>0507</t>
  </si>
  <si>
    <t>0508</t>
  </si>
  <si>
    <t>C2</t>
  </si>
  <si>
    <t>0509</t>
  </si>
  <si>
    <t>0510</t>
  </si>
  <si>
    <t>NUEVO CUSCATLAN</t>
  </si>
  <si>
    <t>0511</t>
  </si>
  <si>
    <t>0512</t>
  </si>
  <si>
    <t>0513</t>
  </si>
  <si>
    <t>0514</t>
  </si>
  <si>
    <t>SAN JOSE VILLANUEVA</t>
  </si>
  <si>
    <t>0515</t>
  </si>
  <si>
    <t>0516</t>
  </si>
  <si>
    <t>SAN MATIAS</t>
  </si>
  <si>
    <t>0517</t>
  </si>
  <si>
    <t>0518</t>
  </si>
  <si>
    <t>0519</t>
  </si>
  <si>
    <t>0520</t>
  </si>
  <si>
    <t>0521</t>
  </si>
  <si>
    <t>0522</t>
  </si>
  <si>
    <t>0601</t>
  </si>
  <si>
    <t>0602</t>
  </si>
  <si>
    <t>005</t>
  </si>
  <si>
    <t>0603</t>
  </si>
  <si>
    <t>07</t>
  </si>
  <si>
    <t>09</t>
  </si>
  <si>
    <t>77</t>
  </si>
  <si>
    <t>0604</t>
  </si>
  <si>
    <t>0605</t>
  </si>
  <si>
    <t>0606</t>
  </si>
  <si>
    <t>0607</t>
  </si>
  <si>
    <t>004</t>
  </si>
  <si>
    <t>0608</t>
  </si>
  <si>
    <t>0609</t>
  </si>
  <si>
    <t>0610</t>
  </si>
  <si>
    <t>0611</t>
  </si>
  <si>
    <t>0612</t>
  </si>
  <si>
    <t>08</t>
  </si>
  <si>
    <t>0613</t>
  </si>
  <si>
    <t>SAN MARTIN</t>
  </si>
  <si>
    <t>0614</t>
  </si>
  <si>
    <t>0615</t>
  </si>
  <si>
    <t>0616</t>
  </si>
  <si>
    <t>SANTO TOMAS</t>
  </si>
  <si>
    <t>0617</t>
  </si>
  <si>
    <t>0618</t>
  </si>
  <si>
    <t>0619</t>
  </si>
  <si>
    <t>0701</t>
  </si>
  <si>
    <t>CUSCATLAN</t>
  </si>
  <si>
    <t>0702</t>
  </si>
  <si>
    <t>14</t>
  </si>
  <si>
    <t>0703</t>
  </si>
  <si>
    <t>0704</t>
  </si>
  <si>
    <t>EL ROSARIO CUSCATLAN</t>
  </si>
  <si>
    <t>0705</t>
  </si>
  <si>
    <t>0706</t>
  </si>
  <si>
    <t>ORATORIO DE CONCEPCION</t>
  </si>
  <si>
    <t>0707</t>
  </si>
  <si>
    <t>SAN BARTOLOME PERULAPIA</t>
  </si>
  <si>
    <t>0708</t>
  </si>
  <si>
    <t>SAN CRISTOBAL</t>
  </si>
  <si>
    <t>0709</t>
  </si>
  <si>
    <t>SAN JOSE GUAYABAL</t>
  </si>
  <si>
    <t>0710</t>
  </si>
  <si>
    <t>SAN PEDRO PERULAPAN</t>
  </si>
  <si>
    <t>0711</t>
  </si>
  <si>
    <t>0712</t>
  </si>
  <si>
    <t>SAN RAMON</t>
  </si>
  <si>
    <t>0713</t>
  </si>
  <si>
    <t>0714</t>
  </si>
  <si>
    <t>0715</t>
  </si>
  <si>
    <t>0716</t>
  </si>
  <si>
    <t>0801</t>
  </si>
  <si>
    <t>CUYULTITAN</t>
  </si>
  <si>
    <t>0802</t>
  </si>
  <si>
    <t>0803</t>
  </si>
  <si>
    <t>JERUSALEN</t>
  </si>
  <si>
    <t>0804</t>
  </si>
  <si>
    <t>0805</t>
  </si>
  <si>
    <t>0806</t>
  </si>
  <si>
    <t>PARAISO DE OSORIO</t>
  </si>
  <si>
    <t>0807</t>
  </si>
  <si>
    <t>0808</t>
  </si>
  <si>
    <t>0809</t>
  </si>
  <si>
    <t>0810</t>
  </si>
  <si>
    <t>0811</t>
  </si>
  <si>
    <t>0812</t>
  </si>
  <si>
    <t>0813</t>
  </si>
  <si>
    <t>0814</t>
  </si>
  <si>
    <t>0815</t>
  </si>
  <si>
    <t>0816</t>
  </si>
  <si>
    <t>0817</t>
  </si>
  <si>
    <t>0818</t>
  </si>
  <si>
    <t>SANTA MARIA OSTUMA</t>
  </si>
  <si>
    <t>0819</t>
  </si>
  <si>
    <t>20</t>
  </si>
  <si>
    <t>16</t>
  </si>
  <si>
    <t>0820</t>
  </si>
  <si>
    <t>0821</t>
  </si>
  <si>
    <t>27</t>
  </si>
  <si>
    <t>84</t>
  </si>
  <si>
    <t>0822</t>
  </si>
  <si>
    <t>13</t>
  </si>
  <si>
    <t>47</t>
  </si>
  <si>
    <t>0901</t>
  </si>
  <si>
    <t>73</t>
  </si>
  <si>
    <t>0902</t>
  </si>
  <si>
    <t>0903</t>
  </si>
  <si>
    <t>0904</t>
  </si>
  <si>
    <t>0905</t>
  </si>
  <si>
    <t>0906</t>
  </si>
  <si>
    <t>0907</t>
  </si>
  <si>
    <t>0908</t>
  </si>
  <si>
    <t>0909</t>
  </si>
  <si>
    <t>1001</t>
  </si>
  <si>
    <t>1002</t>
  </si>
  <si>
    <t>1003</t>
  </si>
  <si>
    <t>1004</t>
  </si>
  <si>
    <t>1005</t>
  </si>
  <si>
    <t>1006</t>
  </si>
  <si>
    <t>1007</t>
  </si>
  <si>
    <t>1008</t>
  </si>
  <si>
    <t>1009</t>
  </si>
  <si>
    <t>SAN SEBASTIAN</t>
  </si>
  <si>
    <t>1010</t>
  </si>
  <si>
    <t>1011</t>
  </si>
  <si>
    <t>1012</t>
  </si>
  <si>
    <t>TEPETITAN</t>
  </si>
  <si>
    <t>1013</t>
  </si>
  <si>
    <t>1101</t>
  </si>
  <si>
    <t>ALEGRIA</t>
  </si>
  <si>
    <t>1102</t>
  </si>
  <si>
    <t>BERLIN</t>
  </si>
  <si>
    <t>1103</t>
  </si>
  <si>
    <t>1104</t>
  </si>
  <si>
    <t>CONCEPCION BATRES</t>
  </si>
  <si>
    <t>1105</t>
  </si>
  <si>
    <t>1106</t>
  </si>
  <si>
    <t>EREGUAYQUIN</t>
  </si>
  <si>
    <t>1107</t>
  </si>
  <si>
    <t>1108</t>
  </si>
  <si>
    <t>1109</t>
  </si>
  <si>
    <t>1110</t>
  </si>
  <si>
    <t>JUCUARAN</t>
  </si>
  <si>
    <t>1111</t>
  </si>
  <si>
    <t>1112</t>
  </si>
  <si>
    <t>1113</t>
  </si>
  <si>
    <t>OZATLAN</t>
  </si>
  <si>
    <t>1114</t>
  </si>
  <si>
    <t>1115</t>
  </si>
  <si>
    <t>SAN AGUSTIN</t>
  </si>
  <si>
    <t>1116</t>
  </si>
  <si>
    <t>1117</t>
  </si>
  <si>
    <t>1118</t>
  </si>
  <si>
    <t>1119</t>
  </si>
  <si>
    <t>1120</t>
  </si>
  <si>
    <t>SANTA MARIA</t>
  </si>
  <si>
    <t>1121</t>
  </si>
  <si>
    <t>SANTIAGO DE MARIA</t>
  </si>
  <si>
    <t>1122</t>
  </si>
  <si>
    <t>TECAPAN</t>
  </si>
  <si>
    <t>1123</t>
  </si>
  <si>
    <t>12</t>
  </si>
  <si>
    <t>1201</t>
  </si>
  <si>
    <t>21</t>
  </si>
  <si>
    <t>1202</t>
  </si>
  <si>
    <t>1203</t>
  </si>
  <si>
    <t>COMACARAN</t>
  </si>
  <si>
    <t>1204</t>
  </si>
  <si>
    <t>1205</t>
  </si>
  <si>
    <t>1206</t>
  </si>
  <si>
    <t>1207</t>
  </si>
  <si>
    <t>EL TRANSITO</t>
  </si>
  <si>
    <t>1208</t>
  </si>
  <si>
    <t>76</t>
  </si>
  <si>
    <t>1209</t>
  </si>
  <si>
    <t>1210</t>
  </si>
  <si>
    <t>1211</t>
  </si>
  <si>
    <t>NUEVO EDEN DE SAN JUAN</t>
  </si>
  <si>
    <t>1212</t>
  </si>
  <si>
    <t>1213</t>
  </si>
  <si>
    <t>SAN ANTONIO DEL MOSCO</t>
  </si>
  <si>
    <t>1214</t>
  </si>
  <si>
    <t>1215</t>
  </si>
  <si>
    <t>1216</t>
  </si>
  <si>
    <t>1217</t>
  </si>
  <si>
    <t>1218</t>
  </si>
  <si>
    <t>1219</t>
  </si>
  <si>
    <t>1220</t>
  </si>
  <si>
    <t>1301</t>
  </si>
  <si>
    <t>MORAZAN</t>
  </si>
  <si>
    <t>1302</t>
  </si>
  <si>
    <t>1303</t>
  </si>
  <si>
    <t>1304</t>
  </si>
  <si>
    <t>1305</t>
  </si>
  <si>
    <t xml:space="preserve">DELICIAS DE CONCEPCION </t>
  </si>
  <si>
    <t>1306</t>
  </si>
  <si>
    <t>1307</t>
  </si>
  <si>
    <t>EL ROSARIO, MORAZAN</t>
  </si>
  <si>
    <t>1308</t>
  </si>
  <si>
    <t>1309</t>
  </si>
  <si>
    <t>1310</t>
  </si>
  <si>
    <t>15</t>
  </si>
  <si>
    <t>55</t>
  </si>
  <si>
    <t>1311</t>
  </si>
  <si>
    <t>1312</t>
  </si>
  <si>
    <t>1313</t>
  </si>
  <si>
    <t>1314</t>
  </si>
  <si>
    <t>1315</t>
  </si>
  <si>
    <t>1316</t>
  </si>
  <si>
    <t>PERQUIN</t>
  </si>
  <si>
    <t>1317</t>
  </si>
  <si>
    <t>1318</t>
  </si>
  <si>
    <t>SAN FERNANDO MORAZAN</t>
  </si>
  <si>
    <t>1319</t>
  </si>
  <si>
    <t>1320</t>
  </si>
  <si>
    <t>SAN ISIDRO MORAZAN</t>
  </si>
  <si>
    <t>1321</t>
  </si>
  <si>
    <t>SAN SIMON</t>
  </si>
  <si>
    <t>1322</t>
  </si>
  <si>
    <t>1323</t>
  </si>
  <si>
    <t>1324</t>
  </si>
  <si>
    <t>1325</t>
  </si>
  <si>
    <t>1326</t>
  </si>
  <si>
    <t>YOLOAIQUIN</t>
  </si>
  <si>
    <t>1401</t>
  </si>
  <si>
    <t>ANAMOROS</t>
  </si>
  <si>
    <t>1402</t>
  </si>
  <si>
    <t>BOLIVAR</t>
  </si>
  <si>
    <t>1403</t>
  </si>
  <si>
    <t>CONCEPCION DE ORIENTE</t>
  </si>
  <si>
    <t>1404</t>
  </si>
  <si>
    <t>1405</t>
  </si>
  <si>
    <t>1406</t>
  </si>
  <si>
    <t>1407</t>
  </si>
  <si>
    <t>INTIPUCA</t>
  </si>
  <si>
    <t>1408</t>
  </si>
  <si>
    <t>1409</t>
  </si>
  <si>
    <t>17</t>
  </si>
  <si>
    <t>1410</t>
  </si>
  <si>
    <t>1411</t>
  </si>
  <si>
    <t>1412</t>
  </si>
  <si>
    <t>1413</t>
  </si>
  <si>
    <t>POLOROS</t>
  </si>
  <si>
    <t>1414</t>
  </si>
  <si>
    <t>1415</t>
  </si>
  <si>
    <t>SAN JOSE</t>
  </si>
  <si>
    <t>1416</t>
  </si>
  <si>
    <t>1417</t>
  </si>
  <si>
    <t>1418</t>
  </si>
  <si>
    <t>YUCUAIQUIN</t>
  </si>
  <si>
    <t xml:space="preserve">, </t>
  </si>
  <si>
    <t>TOTAL</t>
  </si>
  <si>
    <r>
      <t>Area (km</t>
    </r>
    <r>
      <rPr>
        <sz val="8"/>
        <color rgb="FF002060"/>
        <rFont val="Aptos Light"/>
        <family val="2"/>
      </rPr>
      <t>²)</t>
    </r>
  </si>
  <si>
    <r>
      <t>Densidad (Hab/Km</t>
    </r>
    <r>
      <rPr>
        <sz val="8"/>
        <color rgb="FF002060"/>
        <rFont val="Aptos Light"/>
        <family val="2"/>
      </rPr>
      <t>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</si>
</sst>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Bookman Old Style"/>
      <family val="2"/>
    </font>
    <font>
      <sz val="12"/>
      <color theme="1"/>
      <name val="Aptos Light"/>
      <family val="2"/>
    </font>
    <font>
      <sz val="11"/>
      <color theme="1"/>
      <name val="Aptos Light"/>
      <family val="2"/>
    </font>
    <font>
      <b/>
      <sz val="12"/>
      <color rgb="FFFFC000"/>
      <name val="Aptos Light"/>
      <family val="2"/>
    </font>
    <font>
      <sz val="12"/>
      <color rgb="FFFF0000"/>
      <name val="Aptos Light"/>
      <family val="2"/>
    </font>
    <font>
      <sz val="14"/>
      <color theme="1"/>
      <name val="Aptos Light"/>
      <family val="2"/>
    </font>
    <font>
      <sz val="14"/>
      <color rgb="FF002060"/>
      <name val="Aptos Light"/>
      <family val="2"/>
    </font>
    <font>
      <sz val="9"/>
      <color rgb="FF002060"/>
      <name val="Aptos Light"/>
      <family val="2"/>
    </font>
    <font>
      <sz val="8"/>
      <color rgb="FF002060"/>
      <name val="Aptos Light"/>
      <family val="2"/>
    </font>
    <font>
      <sz val="11"/>
      <color rgb="FF002060"/>
      <name val="Aptos Light"/>
      <family val="2"/>
    </font>
    <font>
      <sz val="14"/>
      <color rgb="FFFF0000"/>
      <name val="Aptos Light"/>
      <family val="2"/>
    </font>
    <font>
      <sz val="11"/>
      <color rgb="FFFF0000"/>
      <name val="Aptos Light"/>
      <family val="2"/>
    </font>
    <font>
      <sz val="12"/>
      <color rgb="FF202122"/>
      <name val="Aptos Light"/>
      <family val="2"/>
    </font>
    <font>
      <sz val="12"/>
      <color rgb="FF0070C0"/>
      <name val="Aptos Light"/>
      <family val="2"/>
    </font>
    <font>
      <sz val="12"/>
      <color theme="9" tint="-0.249977111117893"/>
      <name val="Aptos Light"/>
      <family val="2"/>
    </font>
    <font>
      <b/>
      <sz val="10"/>
      <name val="Aptos Light"/>
      <family val="2"/>
    </font>
    <font>
      <b/>
      <sz val="16"/>
      <name val="Aptos Light"/>
      <family val="2"/>
    </font>
    <font>
      <b/>
      <sz val="8"/>
      <name val="Aptos Light"/>
      <family val="2"/>
    </font>
    <font>
      <b/>
      <sz val="11"/>
      <name val="Aptos Light"/>
      <family val="2"/>
    </font>
    <font>
      <b/>
      <sz val="12"/>
      <name val="Aptos Light"/>
      <family val="2"/>
    </font>
    <font>
      <u/>
      <sz val="9"/>
      <name val="Aptos Light"/>
      <family val="2"/>
    </font>
    <font>
      <b/>
      <sz val="14"/>
      <name val="Aptos Light"/>
      <family val="2"/>
    </font>
    <font>
      <sz val="11"/>
      <name val="Aptos Light"/>
      <family val="2"/>
    </font>
    <font>
      <sz val="10"/>
      <name val="Aptos Light"/>
      <family val="2"/>
    </font>
    <font>
      <sz val="12"/>
      <name val="Aptos Light"/>
      <family val="2"/>
    </font>
  </fonts>
  <fills count="20">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8F9FA"/>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4.9989318521683403E-2"/>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rgb="FF002060"/>
      </left>
      <right style="dotted">
        <color rgb="FF002060"/>
      </right>
      <top style="medium">
        <color rgb="FF002060"/>
      </top>
      <bottom/>
      <diagonal/>
    </border>
  </borders>
  <cellStyleXfs count="1">
    <xf numFmtId="0" fontId="0" fillId="0" borderId="0"/>
  </cellStyleXfs>
  <cellXfs count="162">
    <xf numFmtId="0" fontId="0" fillId="0" borderId="0" xfId="0"/>
    <xf numFmtId="0" fontId="1" fillId="0" borderId="0" xfId="0" applyFont="1"/>
    <xf numFmtId="0" fontId="2" fillId="0" borderId="0" xfId="0" applyFont="1" applyAlignment="1">
      <alignment vertical="center"/>
    </xf>
    <xf numFmtId="0" fontId="3" fillId="2" borderId="0" xfId="0" applyFont="1" applyFill="1"/>
    <xf numFmtId="49" fontId="3" fillId="2" borderId="0" xfId="0" applyNumberFormat="1"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wrapText="1"/>
    </xf>
    <xf numFmtId="0" fontId="1" fillId="15" borderId="0" xfId="0" applyFont="1" applyFill="1"/>
    <xf numFmtId="0" fontId="1" fillId="14" borderId="0" xfId="0" applyFont="1" applyFill="1"/>
    <xf numFmtId="0" fontId="1" fillId="13" borderId="0" xfId="0" applyFont="1" applyFill="1"/>
    <xf numFmtId="0" fontId="1" fillId="12" borderId="0" xfId="0" applyFont="1" applyFill="1"/>
    <xf numFmtId="0" fontId="1" fillId="11" borderId="0" xfId="0" applyFont="1" applyFill="1"/>
    <xf numFmtId="0" fontId="1" fillId="10" borderId="0" xfId="0" applyFont="1" applyFill="1"/>
    <xf numFmtId="0" fontId="1" fillId="9" borderId="0" xfId="0" applyFont="1" applyFill="1"/>
    <xf numFmtId="0" fontId="4" fillId="0" borderId="0" xfId="0" applyFont="1"/>
    <xf numFmtId="0" fontId="1" fillId="7" borderId="0" xfId="0" applyFont="1" applyFill="1"/>
    <xf numFmtId="0" fontId="1" fillId="6" borderId="0" xfId="0" applyFont="1" applyFill="1"/>
    <xf numFmtId="0" fontId="1" fillId="5" borderId="0" xfId="0" applyFont="1" applyFill="1"/>
    <xf numFmtId="0" fontId="1" fillId="4" borderId="0" xfId="0" applyFont="1" applyFill="1"/>
    <xf numFmtId="0" fontId="1" fillId="3" borderId="0" xfId="0" applyFont="1" applyFill="1"/>
    <xf numFmtId="0" fontId="5" fillId="0" borderId="0" xfId="0" applyFont="1" applyAlignment="1">
      <alignment horizontal="center"/>
    </xf>
    <xf numFmtId="0" fontId="6" fillId="16" borderId="12" xfId="0" applyFont="1" applyFill="1" applyBorder="1" applyAlignment="1">
      <alignment horizontal="center" vertical="center" wrapText="1"/>
    </xf>
    <xf numFmtId="0" fontId="7" fillId="16" borderId="1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9" fillId="3" borderId="5" xfId="0" applyFont="1" applyFill="1" applyBorder="1" applyAlignment="1">
      <alignment horizontal="left" vertical="center" wrapText="1"/>
    </xf>
    <xf numFmtId="0" fontId="9" fillId="3" borderId="5" xfId="0" applyFont="1" applyFill="1" applyBorder="1" applyAlignment="1">
      <alignment horizontal="center" vertical="center" wrapText="1"/>
    </xf>
    <xf numFmtId="0" fontId="5" fillId="17" borderId="5" xfId="0" applyFont="1" applyFill="1" applyBorder="1" applyAlignment="1">
      <alignment horizontal="center"/>
    </xf>
    <xf numFmtId="0" fontId="1" fillId="17" borderId="5" xfId="0" applyFont="1" applyFill="1" applyBorder="1" applyAlignment="1">
      <alignment horizontal="left"/>
    </xf>
    <xf numFmtId="0" fontId="1" fillId="17" borderId="5" xfId="0" applyFont="1" applyFill="1" applyBorder="1"/>
    <xf numFmtId="0" fontId="6" fillId="4" borderId="5" xfId="0" applyFont="1" applyFill="1" applyBorder="1" applyAlignment="1">
      <alignment horizontal="center" vertical="center" wrapText="1"/>
    </xf>
    <xf numFmtId="0" fontId="9"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6" fillId="18" borderId="5" xfId="0" applyFont="1" applyFill="1" applyBorder="1" applyAlignment="1">
      <alignment horizontal="center" vertical="center" wrapText="1"/>
    </xf>
    <xf numFmtId="0" fontId="9" fillId="18" borderId="5" xfId="0" applyFont="1" applyFill="1" applyBorder="1" applyAlignment="1">
      <alignment horizontal="left" vertical="center" wrapText="1"/>
    </xf>
    <xf numFmtId="0" fontId="9" fillId="18" borderId="5" xfId="0" applyFont="1" applyFill="1" applyBorder="1" applyAlignment="1">
      <alignment horizontal="center" vertical="center" wrapText="1"/>
    </xf>
    <xf numFmtId="0" fontId="6" fillId="19" borderId="5" xfId="0" applyFont="1" applyFill="1" applyBorder="1" applyAlignment="1">
      <alignment horizontal="center" vertical="center" wrapText="1"/>
    </xf>
    <xf numFmtId="0" fontId="9" fillId="19" borderId="5" xfId="0" applyFont="1" applyFill="1" applyBorder="1" applyAlignment="1">
      <alignment horizontal="left" vertical="center" wrapText="1"/>
    </xf>
    <xf numFmtId="0" fontId="9" fillId="19" borderId="5" xfId="0" applyFont="1" applyFill="1" applyBorder="1" applyAlignment="1">
      <alignment horizontal="center" vertical="center" wrapText="1"/>
    </xf>
    <xf numFmtId="0" fontId="10" fillId="16" borderId="5" xfId="0" applyFont="1" applyFill="1" applyBorder="1" applyAlignment="1">
      <alignment horizontal="center" vertical="center" wrapText="1"/>
    </xf>
    <xf numFmtId="0" fontId="11" fillId="16" borderId="5" xfId="0" applyFont="1" applyFill="1" applyBorder="1" applyAlignment="1">
      <alignment horizontal="left" vertical="center" wrapText="1"/>
    </xf>
    <xf numFmtId="0" fontId="11" fillId="16" borderId="5" xfId="0" applyFont="1" applyFill="1" applyBorder="1" applyAlignment="1">
      <alignment horizontal="center" vertical="center" wrapText="1"/>
    </xf>
    <xf numFmtId="0" fontId="5" fillId="9" borderId="5" xfId="0" applyFont="1" applyFill="1" applyBorder="1" applyAlignment="1">
      <alignment horizontal="center"/>
    </xf>
    <xf numFmtId="0" fontId="1" fillId="9" borderId="5" xfId="0" applyFont="1" applyFill="1" applyBorder="1"/>
    <xf numFmtId="0" fontId="5" fillId="10" borderId="5" xfId="0" applyFont="1" applyFill="1" applyBorder="1" applyAlignment="1">
      <alignment horizontal="center"/>
    </xf>
    <xf numFmtId="0" fontId="1" fillId="10" borderId="5" xfId="0" applyFont="1" applyFill="1" applyBorder="1"/>
    <xf numFmtId="0" fontId="5" fillId="11" borderId="5" xfId="0" applyFont="1" applyFill="1" applyBorder="1" applyAlignment="1">
      <alignment horizontal="center"/>
    </xf>
    <xf numFmtId="0" fontId="1" fillId="11" borderId="5" xfId="0" applyFont="1" applyFill="1" applyBorder="1"/>
    <xf numFmtId="0" fontId="5" fillId="12" borderId="5" xfId="0" applyFont="1" applyFill="1" applyBorder="1" applyAlignment="1">
      <alignment horizontal="center"/>
    </xf>
    <xf numFmtId="0" fontId="1" fillId="12" borderId="5" xfId="0" applyFont="1" applyFill="1" applyBorder="1"/>
    <xf numFmtId="0" fontId="5" fillId="13" borderId="5" xfId="0" applyFont="1" applyFill="1" applyBorder="1" applyAlignment="1">
      <alignment horizontal="center"/>
    </xf>
    <xf numFmtId="0" fontId="1" fillId="13" borderId="5" xfId="0" applyFont="1" applyFill="1" applyBorder="1"/>
    <xf numFmtId="0" fontId="5" fillId="14" borderId="5" xfId="0" applyFont="1" applyFill="1" applyBorder="1" applyAlignment="1">
      <alignment horizontal="center"/>
    </xf>
    <xf numFmtId="0" fontId="1" fillId="14" borderId="5" xfId="0" applyFont="1" applyFill="1" applyBorder="1"/>
    <xf numFmtId="0" fontId="5" fillId="15" borderId="5" xfId="0" applyFont="1" applyFill="1" applyBorder="1" applyAlignment="1">
      <alignment horizontal="center"/>
    </xf>
    <xf numFmtId="0" fontId="1" fillId="15" borderId="5" xfId="0" applyFont="1" applyFill="1" applyBorder="1"/>
    <xf numFmtId="0" fontId="5" fillId="0" borderId="5" xfId="0" applyFont="1" applyBorder="1" applyAlignment="1">
      <alignment horizontal="center"/>
    </xf>
    <xf numFmtId="0" fontId="1" fillId="0" borderId="5" xfId="0" applyFont="1" applyBorder="1"/>
    <xf numFmtId="0" fontId="1" fillId="0" borderId="0" xfId="0" applyFont="1" applyAlignment="1">
      <alignment horizontal="left" indent="2"/>
    </xf>
    <xf numFmtId="49" fontId="1" fillId="3" borderId="0" xfId="0" applyNumberFormat="1" applyFont="1" applyFill="1" applyAlignment="1">
      <alignment horizontal="center"/>
    </xf>
    <xf numFmtId="0" fontId="1" fillId="3" borderId="0" xfId="0" applyFont="1" applyFill="1" applyAlignment="1">
      <alignment horizontal="center"/>
    </xf>
    <xf numFmtId="0" fontId="12" fillId="0" borderId="0" xfId="0" applyFont="1" applyAlignment="1">
      <alignment wrapText="1"/>
    </xf>
    <xf numFmtId="0" fontId="12" fillId="3" borderId="0" xfId="0" applyFont="1" applyFill="1" applyAlignment="1">
      <alignment wrapText="1"/>
    </xf>
    <xf numFmtId="0" fontId="13" fillId="0" borderId="0" xfId="0" applyFont="1"/>
    <xf numFmtId="0" fontId="14" fillId="0" borderId="0" xfId="0" applyFont="1"/>
    <xf numFmtId="3" fontId="12" fillId="3" borderId="0" xfId="0" applyNumberFormat="1" applyFont="1" applyFill="1" applyAlignment="1">
      <alignment wrapText="1"/>
    </xf>
    <xf numFmtId="0" fontId="1" fillId="0" borderId="0" xfId="0" applyFont="1" applyAlignment="1">
      <alignment horizontal="center"/>
    </xf>
    <xf numFmtId="49" fontId="1" fillId="4" borderId="0" xfId="0" applyNumberFormat="1" applyFont="1" applyFill="1" applyAlignment="1">
      <alignment horizontal="center"/>
    </xf>
    <xf numFmtId="0" fontId="1" fillId="4" borderId="0" xfId="0" applyFont="1" applyFill="1" applyAlignment="1">
      <alignment horizontal="center"/>
    </xf>
    <xf numFmtId="0" fontId="12" fillId="4" borderId="0" xfId="0" applyFont="1" applyFill="1" applyAlignment="1">
      <alignment wrapText="1"/>
    </xf>
    <xf numFmtId="3" fontId="12" fillId="4" borderId="0" xfId="0" applyNumberFormat="1" applyFont="1" applyFill="1" applyAlignment="1">
      <alignment wrapText="1"/>
    </xf>
    <xf numFmtId="49" fontId="1" fillId="5" borderId="0" xfId="0" applyNumberFormat="1" applyFont="1" applyFill="1" applyAlignment="1">
      <alignment horizontal="center"/>
    </xf>
    <xf numFmtId="0" fontId="1" fillId="5" borderId="0" xfId="0" applyFont="1" applyFill="1" applyAlignment="1">
      <alignment horizontal="center"/>
    </xf>
    <xf numFmtId="0" fontId="12" fillId="5" borderId="0" xfId="0" applyFont="1" applyFill="1" applyAlignment="1">
      <alignment wrapText="1"/>
    </xf>
    <xf numFmtId="3" fontId="12" fillId="5" borderId="0" xfId="0" applyNumberFormat="1" applyFont="1" applyFill="1" applyAlignment="1">
      <alignment wrapText="1"/>
    </xf>
    <xf numFmtId="49" fontId="1" fillId="6" borderId="0" xfId="0" applyNumberFormat="1" applyFont="1" applyFill="1" applyAlignment="1">
      <alignment horizontal="center"/>
    </xf>
    <xf numFmtId="0" fontId="1" fillId="6" borderId="0" xfId="0" applyFont="1" applyFill="1" applyAlignment="1">
      <alignment horizontal="center"/>
    </xf>
    <xf numFmtId="4" fontId="12" fillId="6" borderId="0" xfId="0" applyNumberFormat="1" applyFont="1" applyFill="1" applyAlignment="1">
      <alignment wrapText="1"/>
    </xf>
    <xf numFmtId="3" fontId="12" fillId="6" borderId="0" xfId="0" applyNumberFormat="1" applyFont="1" applyFill="1" applyAlignment="1">
      <alignment wrapText="1"/>
    </xf>
    <xf numFmtId="0" fontId="12" fillId="6" borderId="0" xfId="0" applyFont="1" applyFill="1" applyAlignment="1">
      <alignment wrapText="1"/>
    </xf>
    <xf numFmtId="49" fontId="1" fillId="7" borderId="0" xfId="0" applyNumberFormat="1" applyFont="1" applyFill="1" applyAlignment="1">
      <alignment horizontal="center"/>
    </xf>
    <xf numFmtId="0" fontId="1" fillId="7" borderId="0" xfId="0" applyFont="1" applyFill="1" applyAlignment="1">
      <alignment horizontal="center"/>
    </xf>
    <xf numFmtId="0" fontId="12" fillId="7" borderId="0" xfId="0" applyFont="1" applyFill="1" applyAlignment="1">
      <alignment wrapText="1"/>
    </xf>
    <xf numFmtId="3" fontId="12" fillId="7" borderId="0" xfId="0" applyNumberFormat="1" applyFont="1" applyFill="1" applyAlignment="1">
      <alignment wrapText="1"/>
    </xf>
    <xf numFmtId="49" fontId="4" fillId="0" borderId="0" xfId="0" applyNumberFormat="1" applyFont="1" applyAlignment="1">
      <alignment horizontal="center"/>
    </xf>
    <xf numFmtId="0" fontId="4" fillId="0" borderId="0" xfId="0" applyFont="1" applyAlignment="1">
      <alignment horizontal="center"/>
    </xf>
    <xf numFmtId="0" fontId="4" fillId="8" borderId="0" xfId="0" applyFont="1" applyFill="1" applyAlignment="1">
      <alignment wrapText="1"/>
    </xf>
    <xf numFmtId="3" fontId="4" fillId="8" borderId="0" xfId="0" applyNumberFormat="1" applyFont="1" applyFill="1" applyAlignment="1">
      <alignment wrapText="1"/>
    </xf>
    <xf numFmtId="4" fontId="4" fillId="8" borderId="0" xfId="0" applyNumberFormat="1" applyFont="1" applyFill="1" applyAlignment="1">
      <alignment wrapText="1"/>
    </xf>
    <xf numFmtId="49" fontId="1" fillId="9" borderId="0" xfId="0" applyNumberFormat="1" applyFont="1" applyFill="1" applyAlignment="1">
      <alignment horizontal="center"/>
    </xf>
    <xf numFmtId="0" fontId="1" fillId="9" borderId="0" xfId="0" applyFont="1" applyFill="1" applyAlignment="1">
      <alignment horizontal="center"/>
    </xf>
    <xf numFmtId="0" fontId="12" fillId="9" borderId="0" xfId="0" applyFont="1" applyFill="1" applyAlignment="1">
      <alignment wrapText="1"/>
    </xf>
    <xf numFmtId="3" fontId="12" fillId="9" borderId="0" xfId="0" applyNumberFormat="1" applyFont="1" applyFill="1" applyAlignment="1">
      <alignment wrapText="1"/>
    </xf>
    <xf numFmtId="49" fontId="1" fillId="10" borderId="0" xfId="0" applyNumberFormat="1" applyFont="1" applyFill="1" applyAlignment="1">
      <alignment horizontal="center"/>
    </xf>
    <xf numFmtId="0" fontId="1" fillId="10" borderId="0" xfId="0" applyFont="1" applyFill="1" applyAlignment="1">
      <alignment horizontal="center"/>
    </xf>
    <xf numFmtId="0" fontId="12" fillId="10" borderId="0" xfId="0" applyFont="1" applyFill="1" applyAlignment="1">
      <alignment wrapText="1"/>
    </xf>
    <xf numFmtId="3" fontId="12" fillId="10" borderId="0" xfId="0" applyNumberFormat="1" applyFont="1" applyFill="1" applyAlignment="1">
      <alignment wrapText="1"/>
    </xf>
    <xf numFmtId="49" fontId="1" fillId="11" borderId="0" xfId="0" applyNumberFormat="1" applyFont="1" applyFill="1" applyAlignment="1">
      <alignment horizontal="center"/>
    </xf>
    <xf numFmtId="0" fontId="1" fillId="11" borderId="0" xfId="0" applyFont="1" applyFill="1" applyAlignment="1">
      <alignment horizontal="center"/>
    </xf>
    <xf numFmtId="0" fontId="12" fillId="11" borderId="0" xfId="0" applyFont="1" applyFill="1" applyAlignment="1">
      <alignment wrapText="1"/>
    </xf>
    <xf numFmtId="3" fontId="12" fillId="11" borderId="0" xfId="0" applyNumberFormat="1" applyFont="1" applyFill="1" applyAlignment="1">
      <alignment wrapText="1"/>
    </xf>
    <xf numFmtId="49" fontId="1" fillId="12" borderId="0" xfId="0" applyNumberFormat="1" applyFont="1" applyFill="1" applyAlignment="1">
      <alignment horizontal="center"/>
    </xf>
    <xf numFmtId="0" fontId="1" fillId="12" borderId="0" xfId="0" applyFont="1" applyFill="1" applyAlignment="1">
      <alignment horizontal="center"/>
    </xf>
    <xf numFmtId="0" fontId="12" fillId="12" borderId="0" xfId="0" applyFont="1" applyFill="1" applyAlignment="1">
      <alignment wrapText="1"/>
    </xf>
    <xf numFmtId="3" fontId="12" fillId="12" borderId="0" xfId="0" applyNumberFormat="1" applyFont="1" applyFill="1" applyAlignment="1">
      <alignment wrapText="1"/>
    </xf>
    <xf numFmtId="49" fontId="1" fillId="13" borderId="0" xfId="0" applyNumberFormat="1" applyFont="1" applyFill="1" applyAlignment="1">
      <alignment horizontal="center"/>
    </xf>
    <xf numFmtId="0" fontId="1" fillId="13" borderId="0" xfId="0" applyFont="1" applyFill="1" applyAlignment="1">
      <alignment horizontal="center"/>
    </xf>
    <xf numFmtId="0" fontId="12" fillId="13" borderId="0" xfId="0" applyFont="1" applyFill="1" applyAlignment="1">
      <alignment wrapText="1"/>
    </xf>
    <xf numFmtId="3" fontId="12" fillId="13" borderId="0" xfId="0" applyNumberFormat="1" applyFont="1" applyFill="1" applyAlignment="1">
      <alignment wrapText="1"/>
    </xf>
    <xf numFmtId="49" fontId="1" fillId="14" borderId="0" xfId="0" applyNumberFormat="1" applyFont="1" applyFill="1" applyAlignment="1">
      <alignment horizontal="center"/>
    </xf>
    <xf numFmtId="0" fontId="1" fillId="14" borderId="0" xfId="0" applyFont="1" applyFill="1" applyAlignment="1">
      <alignment horizontal="center"/>
    </xf>
    <xf numFmtId="0" fontId="12" fillId="14" borderId="0" xfId="0" applyFont="1" applyFill="1" applyAlignment="1">
      <alignment wrapText="1"/>
    </xf>
    <xf numFmtId="3" fontId="12" fillId="14" borderId="0" xfId="0" applyNumberFormat="1" applyFont="1" applyFill="1" applyAlignment="1">
      <alignment wrapText="1"/>
    </xf>
    <xf numFmtId="49" fontId="1" fillId="15" borderId="0" xfId="0" applyNumberFormat="1" applyFont="1" applyFill="1" applyAlignment="1">
      <alignment horizontal="center"/>
    </xf>
    <xf numFmtId="0" fontId="1" fillId="15" borderId="0" xfId="0" applyFont="1" applyFill="1" applyAlignment="1">
      <alignment horizontal="center"/>
    </xf>
    <xf numFmtId="0" fontId="12" fillId="15" borderId="0" xfId="0" applyFont="1" applyFill="1" applyAlignment="1">
      <alignment wrapText="1"/>
    </xf>
    <xf numFmtId="3" fontId="12" fillId="15" borderId="0" xfId="0" applyNumberFormat="1" applyFont="1" applyFill="1" applyAlignment="1">
      <alignment wrapText="1"/>
    </xf>
    <xf numFmtId="49" fontId="1" fillId="0" borderId="0" xfId="0" applyNumberFormat="1" applyFont="1" applyAlignment="1">
      <alignment horizontal="center"/>
    </xf>
    <xf numFmtId="4" fontId="12" fillId="8" borderId="0" xfId="0" applyNumberFormat="1" applyFont="1" applyFill="1" applyAlignment="1">
      <alignment wrapText="1"/>
    </xf>
    <xf numFmtId="3" fontId="12" fillId="8" borderId="0" xfId="0" applyNumberFormat="1" applyFont="1" applyFill="1" applyAlignment="1">
      <alignment wrapText="1"/>
    </xf>
    <xf numFmtId="0" fontId="12" fillId="8" borderId="0" xfId="0" applyFont="1" applyFill="1" applyAlignment="1">
      <alignment wrapText="1"/>
    </xf>
    <xf numFmtId="0" fontId="15"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left" vertical="center" wrapText="1" indent="2"/>
    </xf>
    <xf numFmtId="0" fontId="18"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9" fillId="0" borderId="0" xfId="0" applyFont="1"/>
    <xf numFmtId="0" fontId="20"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0" xfId="0" applyFont="1" applyAlignment="1">
      <alignment horizontal="center" vertical="center"/>
    </xf>
    <xf numFmtId="0" fontId="22" fillId="0" borderId="5" xfId="0" applyFont="1" applyBorder="1" applyAlignment="1">
      <alignment vertical="center"/>
    </xf>
    <xf numFmtId="0" fontId="23" fillId="0" borderId="5" xfId="0" applyFont="1" applyBorder="1" applyAlignment="1">
      <alignment horizontal="left" vertical="justify" wrapText="1"/>
    </xf>
    <xf numFmtId="0" fontId="22" fillId="0" borderId="5" xfId="0" applyFont="1" applyBorder="1" applyAlignment="1">
      <alignment horizontal="center" vertical="center" wrapText="1"/>
    </xf>
    <xf numFmtId="3" fontId="22" fillId="0" borderId="5" xfId="0" applyNumberFormat="1" applyFont="1" applyBorder="1" applyAlignment="1">
      <alignment horizontal="center" vertical="center" wrapText="1"/>
    </xf>
    <xf numFmtId="0" fontId="22" fillId="0" borderId="6" xfId="0" applyFont="1" applyBorder="1" applyAlignment="1">
      <alignment horizontal="center" vertical="center" wrapText="1"/>
    </xf>
    <xf numFmtId="0" fontId="24" fillId="0" borderId="0" xfId="0" applyFont="1"/>
    <xf numFmtId="0" fontId="21" fillId="0" borderId="5" xfId="0" applyFont="1" applyBorder="1" applyAlignment="1">
      <alignment horizontal="center" vertical="center"/>
    </xf>
    <xf numFmtId="0" fontId="23" fillId="0" borderId="5" xfId="0" applyFont="1" applyBorder="1" applyAlignment="1">
      <alignment horizontal="left" vertical="center" wrapText="1"/>
    </xf>
    <xf numFmtId="4" fontId="22" fillId="0" borderId="5" xfId="0" applyNumberFormat="1" applyFont="1" applyBorder="1" applyAlignment="1">
      <alignment horizontal="center" vertical="center" wrapText="1"/>
    </xf>
    <xf numFmtId="4" fontId="23" fillId="0" borderId="5" xfId="0" applyNumberFormat="1" applyFont="1" applyBorder="1" applyAlignment="1">
      <alignment horizontal="left" vertical="justify" wrapText="1"/>
    </xf>
    <xf numFmtId="4" fontId="22" fillId="0" borderId="6" xfId="0" applyNumberFormat="1" applyFont="1" applyBorder="1" applyAlignment="1">
      <alignment horizontal="center" vertical="center" wrapText="1"/>
    </xf>
    <xf numFmtId="0" fontId="21" fillId="0" borderId="7" xfId="0" applyFont="1" applyBorder="1" applyAlignment="1">
      <alignment horizontal="center" vertical="center" wrapText="1"/>
    </xf>
    <xf numFmtId="0" fontId="23" fillId="0" borderId="7" xfId="0" applyFont="1" applyBorder="1" applyAlignment="1">
      <alignment horizontal="left" vertical="justify" wrapText="1"/>
    </xf>
    <xf numFmtId="0" fontId="22" fillId="0" borderId="7" xfId="0" applyFont="1" applyBorder="1" applyAlignment="1">
      <alignment horizontal="center" vertical="center" wrapText="1"/>
    </xf>
    <xf numFmtId="3" fontId="22" fillId="0" borderId="7" xfId="0" applyNumberFormat="1" applyFont="1" applyBorder="1" applyAlignment="1">
      <alignment horizontal="center" vertical="center" wrapText="1"/>
    </xf>
    <xf numFmtId="0" fontId="22" fillId="0" borderId="8" xfId="0" applyFont="1" applyBorder="1" applyAlignment="1">
      <alignment horizontal="center" vertical="center" wrapText="1"/>
    </xf>
    <xf numFmtId="0" fontId="24" fillId="0" borderId="0" xfId="0" applyFont="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16" fillId="0" borderId="0" xfId="0" applyFont="1" applyAlignment="1">
      <alignment horizontal="center" vertical="center"/>
    </xf>
    <xf numFmtId="0" fontId="24" fillId="0" borderId="0" xfId="0" applyFont="1" applyAlignment="1">
      <alignment horizontal="center"/>
    </xf>
    <xf numFmtId="0" fontId="16" fillId="0" borderId="0" xfId="0" applyFont="1"/>
    <xf numFmtId="0" fontId="24" fillId="0" borderId="0" xfId="0" applyFont="1" applyAlignment="1">
      <alignment horizontal="left" indent="2"/>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9" xfId="0" applyFont="1" applyBorder="1" applyAlignment="1">
      <alignment horizontal="center"/>
    </xf>
    <xf numFmtId="0" fontId="16" fillId="0" borderId="10" xfId="0" applyFont="1" applyBorder="1" applyAlignment="1">
      <alignment horizontal="center"/>
    </xf>
    <xf numFmtId="0" fontId="16" fillId="0" borderId="11" xfId="0" applyFont="1"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edf507cb59cd2ab/Desktop/mapas/APP%20VENTA%20BIEN%20RAIZ/DISTRITOS.xlsx" TargetMode="External"/><Relationship Id="rId1" Type="http://schemas.openxmlformats.org/officeDocument/2006/relationships/externalLinkPath" Target="DISTRIT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aedf507cb59cd2ab/Desktop/mapas/APP%20VENTA%20BIEN%20RAIZ/DEPARTAMENTOS.xlsx" TargetMode="External"/><Relationship Id="rId1" Type="http://schemas.openxmlformats.org/officeDocument/2006/relationships/externalLinkPath" Target="DEPARTAMEN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TRITOS"/>
    </sheetNames>
    <sheetDataSet>
      <sheetData sheetId="0">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row r="108">
          <cell r="A108">
            <v>107</v>
          </cell>
        </row>
        <row r="109">
          <cell r="A109">
            <v>108</v>
          </cell>
        </row>
        <row r="110">
          <cell r="A110">
            <v>109</v>
          </cell>
        </row>
        <row r="111">
          <cell r="A111">
            <v>110</v>
          </cell>
        </row>
        <row r="112">
          <cell r="A112">
            <v>111</v>
          </cell>
        </row>
        <row r="113">
          <cell r="A113">
            <v>112</v>
          </cell>
        </row>
        <row r="114">
          <cell r="A114">
            <v>113</v>
          </cell>
        </row>
        <row r="115">
          <cell r="A115">
            <v>114</v>
          </cell>
        </row>
        <row r="116">
          <cell r="A116">
            <v>115</v>
          </cell>
        </row>
        <row r="117">
          <cell r="A117">
            <v>116</v>
          </cell>
        </row>
        <row r="118">
          <cell r="A118">
            <v>117</v>
          </cell>
        </row>
        <row r="119">
          <cell r="A119">
            <v>118</v>
          </cell>
        </row>
        <row r="120">
          <cell r="A120">
            <v>119</v>
          </cell>
        </row>
        <row r="121">
          <cell r="A121">
            <v>120</v>
          </cell>
        </row>
        <row r="122">
          <cell r="A122">
            <v>121</v>
          </cell>
        </row>
        <row r="123">
          <cell r="A123">
            <v>122</v>
          </cell>
        </row>
        <row r="124">
          <cell r="A124">
            <v>123</v>
          </cell>
        </row>
        <row r="125">
          <cell r="A125">
            <v>124</v>
          </cell>
        </row>
        <row r="126">
          <cell r="A126">
            <v>125</v>
          </cell>
        </row>
        <row r="127">
          <cell r="A127">
            <v>126</v>
          </cell>
        </row>
        <row r="128">
          <cell r="A128">
            <v>127</v>
          </cell>
        </row>
        <row r="129">
          <cell r="A129">
            <v>128</v>
          </cell>
        </row>
        <row r="130">
          <cell r="A130">
            <v>129</v>
          </cell>
        </row>
        <row r="131">
          <cell r="A131">
            <v>130</v>
          </cell>
        </row>
        <row r="132">
          <cell r="A132">
            <v>131</v>
          </cell>
        </row>
        <row r="133">
          <cell r="A133">
            <v>132</v>
          </cell>
        </row>
        <row r="134">
          <cell r="A134">
            <v>133</v>
          </cell>
        </row>
        <row r="135">
          <cell r="A135">
            <v>134</v>
          </cell>
        </row>
        <row r="136">
          <cell r="A136">
            <v>135</v>
          </cell>
        </row>
        <row r="137">
          <cell r="A137">
            <v>136</v>
          </cell>
        </row>
        <row r="138">
          <cell r="A138">
            <v>137</v>
          </cell>
        </row>
        <row r="139">
          <cell r="A139">
            <v>138</v>
          </cell>
        </row>
        <row r="140">
          <cell r="A140">
            <v>139</v>
          </cell>
        </row>
        <row r="141">
          <cell r="A141">
            <v>140</v>
          </cell>
        </row>
        <row r="142">
          <cell r="A142">
            <v>141</v>
          </cell>
        </row>
        <row r="143">
          <cell r="A143">
            <v>142</v>
          </cell>
        </row>
        <row r="144">
          <cell r="A144">
            <v>143</v>
          </cell>
        </row>
        <row r="145">
          <cell r="A145">
            <v>144</v>
          </cell>
        </row>
        <row r="146">
          <cell r="A146">
            <v>145</v>
          </cell>
        </row>
        <row r="147">
          <cell r="A147">
            <v>146</v>
          </cell>
        </row>
        <row r="148">
          <cell r="A148">
            <v>147</v>
          </cell>
        </row>
        <row r="149">
          <cell r="A149">
            <v>148</v>
          </cell>
        </row>
        <row r="150">
          <cell r="A150">
            <v>149</v>
          </cell>
        </row>
        <row r="151">
          <cell r="A151">
            <v>150</v>
          </cell>
        </row>
        <row r="152">
          <cell r="A152">
            <v>151</v>
          </cell>
        </row>
        <row r="153">
          <cell r="A153">
            <v>152</v>
          </cell>
        </row>
        <row r="154">
          <cell r="A154">
            <v>153</v>
          </cell>
        </row>
        <row r="155">
          <cell r="A155">
            <v>154</v>
          </cell>
        </row>
        <row r="156">
          <cell r="A156">
            <v>155</v>
          </cell>
        </row>
        <row r="157">
          <cell r="A157">
            <v>156</v>
          </cell>
        </row>
        <row r="158">
          <cell r="A158">
            <v>157</v>
          </cell>
        </row>
        <row r="159">
          <cell r="A159">
            <v>158</v>
          </cell>
        </row>
        <row r="160">
          <cell r="A160">
            <v>159</v>
          </cell>
        </row>
        <row r="161">
          <cell r="A161">
            <v>160</v>
          </cell>
        </row>
        <row r="162">
          <cell r="A162">
            <v>161</v>
          </cell>
        </row>
        <row r="163">
          <cell r="A163">
            <v>162</v>
          </cell>
        </row>
        <row r="164">
          <cell r="A164">
            <v>163</v>
          </cell>
        </row>
        <row r="165">
          <cell r="A165">
            <v>164</v>
          </cell>
        </row>
        <row r="166">
          <cell r="A166">
            <v>165</v>
          </cell>
        </row>
        <row r="167">
          <cell r="A167">
            <v>166</v>
          </cell>
        </row>
        <row r="168">
          <cell r="A168">
            <v>167</v>
          </cell>
        </row>
        <row r="169">
          <cell r="A169">
            <v>168</v>
          </cell>
        </row>
        <row r="170">
          <cell r="A170">
            <v>169</v>
          </cell>
        </row>
        <row r="171">
          <cell r="A171">
            <v>170</v>
          </cell>
        </row>
        <row r="172">
          <cell r="A172">
            <v>171</v>
          </cell>
        </row>
        <row r="173">
          <cell r="A173">
            <v>172</v>
          </cell>
        </row>
        <row r="174">
          <cell r="A174">
            <v>173</v>
          </cell>
        </row>
        <row r="175">
          <cell r="A175">
            <v>174</v>
          </cell>
        </row>
        <row r="176">
          <cell r="A176">
            <v>175</v>
          </cell>
        </row>
        <row r="177">
          <cell r="A177">
            <v>176</v>
          </cell>
        </row>
        <row r="178">
          <cell r="A178">
            <v>177</v>
          </cell>
        </row>
        <row r="179">
          <cell r="A179">
            <v>178</v>
          </cell>
        </row>
        <row r="180">
          <cell r="A180">
            <v>179</v>
          </cell>
        </row>
        <row r="181">
          <cell r="A181">
            <v>180</v>
          </cell>
        </row>
        <row r="182">
          <cell r="A182">
            <v>181</v>
          </cell>
        </row>
        <row r="183">
          <cell r="A183">
            <v>182</v>
          </cell>
        </row>
        <row r="184">
          <cell r="A184">
            <v>183</v>
          </cell>
        </row>
        <row r="185">
          <cell r="A185">
            <v>184</v>
          </cell>
        </row>
        <row r="186">
          <cell r="A186">
            <v>185</v>
          </cell>
        </row>
        <row r="187">
          <cell r="A187">
            <v>186</v>
          </cell>
        </row>
        <row r="188">
          <cell r="A188">
            <v>187</v>
          </cell>
        </row>
        <row r="189">
          <cell r="A189">
            <v>188</v>
          </cell>
        </row>
        <row r="190">
          <cell r="A190">
            <v>189</v>
          </cell>
        </row>
        <row r="191">
          <cell r="A191">
            <v>190</v>
          </cell>
        </row>
        <row r="192">
          <cell r="A192">
            <v>191</v>
          </cell>
        </row>
        <row r="193">
          <cell r="A193">
            <v>192</v>
          </cell>
        </row>
        <row r="194">
          <cell r="A194">
            <v>193</v>
          </cell>
        </row>
        <row r="195">
          <cell r="A195">
            <v>194</v>
          </cell>
        </row>
        <row r="196">
          <cell r="A196">
            <v>195</v>
          </cell>
        </row>
        <row r="197">
          <cell r="A197">
            <v>196</v>
          </cell>
        </row>
        <row r="198">
          <cell r="A198">
            <v>197</v>
          </cell>
        </row>
        <row r="199">
          <cell r="A199">
            <v>198</v>
          </cell>
        </row>
        <row r="200">
          <cell r="A200">
            <v>199</v>
          </cell>
        </row>
        <row r="201">
          <cell r="A201">
            <v>200</v>
          </cell>
        </row>
        <row r="202">
          <cell r="A202">
            <v>201</v>
          </cell>
        </row>
        <row r="203">
          <cell r="A203">
            <v>202</v>
          </cell>
        </row>
        <row r="204">
          <cell r="A204">
            <v>203</v>
          </cell>
        </row>
        <row r="205">
          <cell r="A205">
            <v>204</v>
          </cell>
        </row>
        <row r="206">
          <cell r="A206">
            <v>205</v>
          </cell>
        </row>
        <row r="207">
          <cell r="A207">
            <v>206</v>
          </cell>
        </row>
        <row r="208">
          <cell r="A208">
            <v>207</v>
          </cell>
        </row>
        <row r="209">
          <cell r="A209">
            <v>208</v>
          </cell>
        </row>
        <row r="210">
          <cell r="A210">
            <v>209</v>
          </cell>
        </row>
        <row r="211">
          <cell r="A211">
            <v>210</v>
          </cell>
        </row>
        <row r="212">
          <cell r="A212">
            <v>211</v>
          </cell>
        </row>
        <row r="213">
          <cell r="A213">
            <v>212</v>
          </cell>
        </row>
        <row r="214">
          <cell r="A214">
            <v>213</v>
          </cell>
        </row>
        <row r="215">
          <cell r="A215">
            <v>214</v>
          </cell>
        </row>
        <row r="216">
          <cell r="A216">
            <v>215</v>
          </cell>
        </row>
        <row r="217">
          <cell r="A217">
            <v>216</v>
          </cell>
        </row>
        <row r="218">
          <cell r="A218">
            <v>217</v>
          </cell>
        </row>
        <row r="219">
          <cell r="A219">
            <v>218</v>
          </cell>
        </row>
        <row r="220">
          <cell r="A220">
            <v>219</v>
          </cell>
        </row>
        <row r="221">
          <cell r="A221">
            <v>220</v>
          </cell>
        </row>
        <row r="222">
          <cell r="A222">
            <v>221</v>
          </cell>
        </row>
        <row r="223">
          <cell r="A223">
            <v>222</v>
          </cell>
        </row>
        <row r="224">
          <cell r="A224">
            <v>223</v>
          </cell>
        </row>
        <row r="225">
          <cell r="A225">
            <v>224</v>
          </cell>
        </row>
        <row r="226">
          <cell r="A226">
            <v>225</v>
          </cell>
        </row>
        <row r="227">
          <cell r="A227">
            <v>226</v>
          </cell>
        </row>
        <row r="228">
          <cell r="A228">
            <v>227</v>
          </cell>
        </row>
        <row r="229">
          <cell r="A229">
            <v>228</v>
          </cell>
        </row>
        <row r="230">
          <cell r="A230">
            <v>229</v>
          </cell>
        </row>
        <row r="231">
          <cell r="A231">
            <v>230</v>
          </cell>
        </row>
        <row r="232">
          <cell r="A232">
            <v>231</v>
          </cell>
        </row>
        <row r="233">
          <cell r="A233">
            <v>232</v>
          </cell>
        </row>
        <row r="234">
          <cell r="A234">
            <v>233</v>
          </cell>
        </row>
        <row r="235">
          <cell r="A235">
            <v>234</v>
          </cell>
        </row>
        <row r="236">
          <cell r="A236">
            <v>235</v>
          </cell>
        </row>
        <row r="237">
          <cell r="A237">
            <v>236</v>
          </cell>
        </row>
        <row r="238">
          <cell r="A238">
            <v>237</v>
          </cell>
        </row>
        <row r="239">
          <cell r="A239">
            <v>238</v>
          </cell>
        </row>
        <row r="240">
          <cell r="A240">
            <v>239</v>
          </cell>
        </row>
        <row r="241">
          <cell r="A241">
            <v>240</v>
          </cell>
        </row>
        <row r="242">
          <cell r="A242">
            <v>241</v>
          </cell>
        </row>
        <row r="243">
          <cell r="A243">
            <v>242</v>
          </cell>
        </row>
        <row r="244">
          <cell r="A244">
            <v>243</v>
          </cell>
        </row>
        <row r="245">
          <cell r="A245">
            <v>244</v>
          </cell>
        </row>
        <row r="246">
          <cell r="A246">
            <v>245</v>
          </cell>
        </row>
        <row r="247">
          <cell r="A247">
            <v>246</v>
          </cell>
        </row>
        <row r="248">
          <cell r="A248">
            <v>247</v>
          </cell>
        </row>
        <row r="249">
          <cell r="A249">
            <v>248</v>
          </cell>
        </row>
        <row r="250">
          <cell r="A250">
            <v>249</v>
          </cell>
        </row>
        <row r="251">
          <cell r="A251">
            <v>250</v>
          </cell>
        </row>
        <row r="252">
          <cell r="A252">
            <v>251</v>
          </cell>
        </row>
        <row r="253">
          <cell r="A253">
            <v>252</v>
          </cell>
        </row>
        <row r="254">
          <cell r="A254">
            <v>253</v>
          </cell>
        </row>
        <row r="255">
          <cell r="A255">
            <v>254</v>
          </cell>
        </row>
        <row r="256">
          <cell r="A256">
            <v>255</v>
          </cell>
        </row>
        <row r="257">
          <cell r="A257">
            <v>256</v>
          </cell>
        </row>
        <row r="258">
          <cell r="A258">
            <v>257</v>
          </cell>
        </row>
        <row r="259">
          <cell r="A259">
            <v>258</v>
          </cell>
        </row>
        <row r="260">
          <cell r="A260">
            <v>259</v>
          </cell>
        </row>
        <row r="261">
          <cell r="A261">
            <v>260</v>
          </cell>
        </row>
        <row r="262">
          <cell r="A262">
            <v>261</v>
          </cell>
        </row>
        <row r="263">
          <cell r="A263">
            <v>262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AMENTOS"/>
    </sheetNames>
    <sheetDataSet>
      <sheetData sheetId="0">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8345-7C5C-4A9F-89BA-540DBBD5633A}">
  <sheetPr codeName="Hoja1"/>
  <dimension ref="A1:B15"/>
  <sheetViews>
    <sheetView tabSelected="1" workbookViewId="0">
      <selection activeCell="F9" sqref="F9"/>
    </sheetView>
  </sheetViews>
  <sheetFormatPr baseColWidth="10" defaultRowHeight="16" x14ac:dyDescent="0.4"/>
  <cols>
    <col min="1" max="1" width="7.796875" style="1" bestFit="1" customWidth="1"/>
    <col min="2" max="2" width="14.19921875" style="1" bestFit="1" customWidth="1"/>
    <col min="3" max="16384" width="10.6640625" style="1"/>
  </cols>
  <sheetData>
    <row r="1" spans="1:2" x14ac:dyDescent="0.4">
      <c r="A1" s="1" t="s">
        <v>0</v>
      </c>
      <c r="B1" s="1" t="s">
        <v>1</v>
      </c>
    </row>
    <row r="2" spans="1:2" x14ac:dyDescent="0.4">
      <c r="A2" s="1">
        <v>1</v>
      </c>
      <c r="B2" s="2" t="s">
        <v>2</v>
      </c>
    </row>
    <row r="3" spans="1:2" x14ac:dyDescent="0.4">
      <c r="A3" s="1">
        <v>2</v>
      </c>
      <c r="B3" s="2" t="s">
        <v>3</v>
      </c>
    </row>
    <row r="4" spans="1:2" x14ac:dyDescent="0.4">
      <c r="A4" s="1">
        <v>3</v>
      </c>
      <c r="B4" s="2" t="s">
        <v>4</v>
      </c>
    </row>
    <row r="5" spans="1:2" x14ac:dyDescent="0.4">
      <c r="A5" s="1">
        <v>4</v>
      </c>
      <c r="B5" s="2" t="s">
        <v>5</v>
      </c>
    </row>
    <row r="6" spans="1:2" x14ac:dyDescent="0.4">
      <c r="A6" s="1">
        <v>5</v>
      </c>
      <c r="B6" s="2" t="s">
        <v>6</v>
      </c>
    </row>
    <row r="7" spans="1:2" x14ac:dyDescent="0.4">
      <c r="A7" s="1">
        <v>6</v>
      </c>
      <c r="B7" s="2" t="s">
        <v>7</v>
      </c>
    </row>
    <row r="8" spans="1:2" x14ac:dyDescent="0.4">
      <c r="A8" s="1">
        <v>7</v>
      </c>
      <c r="B8" s="2" t="s">
        <v>8</v>
      </c>
    </row>
    <row r="9" spans="1:2" x14ac:dyDescent="0.4">
      <c r="A9" s="1">
        <v>8</v>
      </c>
      <c r="B9" s="2" t="s">
        <v>9</v>
      </c>
    </row>
    <row r="10" spans="1:2" x14ac:dyDescent="0.4">
      <c r="A10" s="1">
        <v>9</v>
      </c>
      <c r="B10" s="2" t="s">
        <v>10</v>
      </c>
    </row>
    <row r="11" spans="1:2" x14ac:dyDescent="0.4">
      <c r="A11" s="1">
        <v>10</v>
      </c>
      <c r="B11" s="2" t="s">
        <v>11</v>
      </c>
    </row>
    <row r="12" spans="1:2" x14ac:dyDescent="0.4">
      <c r="A12" s="1">
        <v>11</v>
      </c>
      <c r="B12" s="2" t="s">
        <v>12</v>
      </c>
    </row>
    <row r="13" spans="1:2" x14ac:dyDescent="0.4">
      <c r="A13" s="1">
        <v>12</v>
      </c>
      <c r="B13" s="2" t="s">
        <v>13</v>
      </c>
    </row>
    <row r="14" spans="1:2" x14ac:dyDescent="0.4">
      <c r="A14" s="1">
        <v>13</v>
      </c>
      <c r="B14" s="2" t="s">
        <v>14</v>
      </c>
    </row>
    <row r="15" spans="1:2" x14ac:dyDescent="0.4">
      <c r="A15" s="1">
        <v>14</v>
      </c>
      <c r="B15" s="2"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76C9-4943-4B0F-B289-2CCE1B413C3A}">
  <sheetPr codeName="Hoja2"/>
  <dimension ref="A1:B45"/>
  <sheetViews>
    <sheetView workbookViewId="0">
      <selection activeCell="B2" sqref="B2:B4"/>
    </sheetView>
  </sheetViews>
  <sheetFormatPr baseColWidth="10" defaultRowHeight="16" x14ac:dyDescent="0.4"/>
  <cols>
    <col min="1" max="1" width="10.6640625" style="1"/>
    <col min="2" max="2" width="21.73046875" style="1" bestFit="1" customWidth="1"/>
    <col min="3" max="16384" width="10.6640625" style="1"/>
  </cols>
  <sheetData>
    <row r="1" spans="1:2" x14ac:dyDescent="0.4">
      <c r="A1" s="1" t="s">
        <v>266</v>
      </c>
      <c r="B1" s="1" t="s">
        <v>267</v>
      </c>
    </row>
    <row r="2" spans="1:2" x14ac:dyDescent="0.4">
      <c r="A2" s="1">
        <v>1</v>
      </c>
      <c r="B2" s="1" t="s">
        <v>268</v>
      </c>
    </row>
    <row r="3" spans="1:2" x14ac:dyDescent="0.4">
      <c r="A3" s="1">
        <v>2</v>
      </c>
      <c r="B3" s="1" t="s">
        <v>269</v>
      </c>
    </row>
    <row r="4" spans="1:2" x14ac:dyDescent="0.4">
      <c r="A4" s="1">
        <v>3</v>
      </c>
      <c r="B4" s="1" t="s">
        <v>270</v>
      </c>
    </row>
    <row r="5" spans="1:2" x14ac:dyDescent="0.4">
      <c r="A5" s="1">
        <v>4</v>
      </c>
      <c r="B5" s="1" t="s">
        <v>271</v>
      </c>
    </row>
    <row r="6" spans="1:2" x14ac:dyDescent="0.4">
      <c r="A6" s="1">
        <v>5</v>
      </c>
      <c r="B6" s="1" t="s">
        <v>272</v>
      </c>
    </row>
    <row r="7" spans="1:2" x14ac:dyDescent="0.4">
      <c r="A7" s="1">
        <v>6</v>
      </c>
      <c r="B7" s="1" t="s">
        <v>273</v>
      </c>
    </row>
    <row r="8" spans="1:2" x14ac:dyDescent="0.4">
      <c r="A8" s="1">
        <v>7</v>
      </c>
      <c r="B8" s="1" t="s">
        <v>274</v>
      </c>
    </row>
    <row r="9" spans="1:2" x14ac:dyDescent="0.4">
      <c r="A9" s="1">
        <v>8</v>
      </c>
      <c r="B9" s="1" t="s">
        <v>275</v>
      </c>
    </row>
    <row r="10" spans="1:2" x14ac:dyDescent="0.4">
      <c r="A10" s="1">
        <v>9</v>
      </c>
      <c r="B10" s="1" t="s">
        <v>276</v>
      </c>
    </row>
    <row r="11" spans="1:2" x14ac:dyDescent="0.4">
      <c r="A11" s="1">
        <v>10</v>
      </c>
      <c r="B11" s="1" t="s">
        <v>277</v>
      </c>
    </row>
    <row r="12" spans="1:2" x14ac:dyDescent="0.4">
      <c r="A12" s="1">
        <v>11</v>
      </c>
      <c r="B12" s="1" t="s">
        <v>278</v>
      </c>
    </row>
    <row r="13" spans="1:2" x14ac:dyDescent="0.4">
      <c r="A13" s="1">
        <v>12</v>
      </c>
      <c r="B13" s="1" t="s">
        <v>279</v>
      </c>
    </row>
    <row r="14" spans="1:2" x14ac:dyDescent="0.4">
      <c r="A14" s="1">
        <v>13</v>
      </c>
      <c r="B14" s="1" t="s">
        <v>280</v>
      </c>
    </row>
    <row r="15" spans="1:2" x14ac:dyDescent="0.4">
      <c r="A15" s="1">
        <v>14</v>
      </c>
      <c r="B15" s="1" t="s">
        <v>281</v>
      </c>
    </row>
    <row r="16" spans="1:2" x14ac:dyDescent="0.4">
      <c r="A16" s="1">
        <v>15</v>
      </c>
      <c r="B16" s="1" t="s">
        <v>282</v>
      </c>
    </row>
    <row r="17" spans="1:2" x14ac:dyDescent="0.4">
      <c r="A17" s="1">
        <v>16</v>
      </c>
      <c r="B17" s="1" t="s">
        <v>283</v>
      </c>
    </row>
    <row r="18" spans="1:2" x14ac:dyDescent="0.4">
      <c r="A18" s="1">
        <v>17</v>
      </c>
      <c r="B18" s="1" t="s">
        <v>284</v>
      </c>
    </row>
    <row r="19" spans="1:2" x14ac:dyDescent="0.4">
      <c r="A19" s="1">
        <v>18</v>
      </c>
      <c r="B19" s="1" t="s">
        <v>285</v>
      </c>
    </row>
    <row r="20" spans="1:2" x14ac:dyDescent="0.4">
      <c r="A20" s="1">
        <v>19</v>
      </c>
      <c r="B20" s="1" t="s">
        <v>286</v>
      </c>
    </row>
    <row r="21" spans="1:2" x14ac:dyDescent="0.4">
      <c r="A21" s="1">
        <v>20</v>
      </c>
      <c r="B21" s="1" t="s">
        <v>287</v>
      </c>
    </row>
    <row r="22" spans="1:2" x14ac:dyDescent="0.4">
      <c r="A22" s="1">
        <v>21</v>
      </c>
      <c r="B22" s="1" t="s">
        <v>288</v>
      </c>
    </row>
    <row r="23" spans="1:2" x14ac:dyDescent="0.4">
      <c r="A23" s="1">
        <v>22</v>
      </c>
      <c r="B23" s="1" t="s">
        <v>289</v>
      </c>
    </row>
    <row r="24" spans="1:2" x14ac:dyDescent="0.4">
      <c r="A24" s="1">
        <v>23</v>
      </c>
      <c r="B24" s="1" t="s">
        <v>290</v>
      </c>
    </row>
    <row r="25" spans="1:2" x14ac:dyDescent="0.4">
      <c r="A25" s="1">
        <v>24</v>
      </c>
      <c r="B25" s="1" t="s">
        <v>291</v>
      </c>
    </row>
    <row r="26" spans="1:2" x14ac:dyDescent="0.4">
      <c r="A26" s="1">
        <v>25</v>
      </c>
      <c r="B26" s="1" t="s">
        <v>292</v>
      </c>
    </row>
    <row r="27" spans="1:2" x14ac:dyDescent="0.4">
      <c r="A27" s="1">
        <v>26</v>
      </c>
      <c r="B27" s="1" t="s">
        <v>296</v>
      </c>
    </row>
    <row r="28" spans="1:2" x14ac:dyDescent="0.4">
      <c r="A28" s="1">
        <v>27</v>
      </c>
      <c r="B28" s="1" t="s">
        <v>297</v>
      </c>
    </row>
    <row r="29" spans="1:2" x14ac:dyDescent="0.4">
      <c r="A29" s="1">
        <v>28</v>
      </c>
      <c r="B29" s="1" t="s">
        <v>293</v>
      </c>
    </row>
    <row r="30" spans="1:2" x14ac:dyDescent="0.4">
      <c r="A30" s="1">
        <v>29</v>
      </c>
      <c r="B30" s="1" t="s">
        <v>294</v>
      </c>
    </row>
    <row r="31" spans="1:2" x14ac:dyDescent="0.4">
      <c r="A31" s="1">
        <v>30</v>
      </c>
      <c r="B31" s="1" t="s">
        <v>295</v>
      </c>
    </row>
    <row r="32" spans="1:2" x14ac:dyDescent="0.4">
      <c r="A32" s="1">
        <v>31</v>
      </c>
      <c r="B32" s="1" t="s">
        <v>298</v>
      </c>
    </row>
    <row r="33" spans="1:2" x14ac:dyDescent="0.4">
      <c r="A33" s="1">
        <v>32</v>
      </c>
      <c r="B33" s="1" t="s">
        <v>299</v>
      </c>
    </row>
    <row r="34" spans="1:2" x14ac:dyDescent="0.4">
      <c r="A34" s="1">
        <v>33</v>
      </c>
      <c r="B34" s="1" t="s">
        <v>300</v>
      </c>
    </row>
    <row r="35" spans="1:2" x14ac:dyDescent="0.4">
      <c r="A35" s="1">
        <v>34</v>
      </c>
      <c r="B35" s="1" t="s">
        <v>301</v>
      </c>
    </row>
    <row r="36" spans="1:2" x14ac:dyDescent="0.4">
      <c r="A36" s="1">
        <v>35</v>
      </c>
      <c r="B36" s="1" t="s">
        <v>302</v>
      </c>
    </row>
    <row r="37" spans="1:2" x14ac:dyDescent="0.4">
      <c r="A37" s="1">
        <v>36</v>
      </c>
      <c r="B37" s="1" t="s">
        <v>303</v>
      </c>
    </row>
    <row r="38" spans="1:2" x14ac:dyDescent="0.4">
      <c r="A38" s="1">
        <v>37</v>
      </c>
      <c r="B38" s="1" t="s">
        <v>304</v>
      </c>
    </row>
    <row r="39" spans="1:2" x14ac:dyDescent="0.4">
      <c r="A39" s="1">
        <v>38</v>
      </c>
      <c r="B39" s="1" t="s">
        <v>305</v>
      </c>
    </row>
    <row r="40" spans="1:2" x14ac:dyDescent="0.4">
      <c r="A40" s="1">
        <v>39</v>
      </c>
      <c r="B40" s="1" t="s">
        <v>306</v>
      </c>
    </row>
    <row r="41" spans="1:2" x14ac:dyDescent="0.4">
      <c r="A41" s="1">
        <v>40</v>
      </c>
      <c r="B41" s="1" t="s">
        <v>307</v>
      </c>
    </row>
    <row r="42" spans="1:2" x14ac:dyDescent="0.4">
      <c r="A42" s="1">
        <v>41</v>
      </c>
      <c r="B42" s="1" t="s">
        <v>308</v>
      </c>
    </row>
    <row r="43" spans="1:2" x14ac:dyDescent="0.4">
      <c r="A43" s="1">
        <v>42</v>
      </c>
      <c r="B43" s="1" t="s">
        <v>309</v>
      </c>
    </row>
    <row r="44" spans="1:2" x14ac:dyDescent="0.4">
      <c r="A44" s="1">
        <v>43</v>
      </c>
      <c r="B44" s="1" t="s">
        <v>310</v>
      </c>
    </row>
    <row r="45" spans="1:2" x14ac:dyDescent="0.4">
      <c r="A45" s="1">
        <v>44</v>
      </c>
      <c r="B45" s="1"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AE33-FD1A-4526-9651-EC509508317E}">
  <sheetPr codeName="Hoja3"/>
  <dimension ref="A1:B276"/>
  <sheetViews>
    <sheetView workbookViewId="0">
      <selection activeCell="G9" sqref="G9"/>
    </sheetView>
  </sheetViews>
  <sheetFormatPr baseColWidth="10" defaultRowHeight="16" x14ac:dyDescent="0.4"/>
  <cols>
    <col min="1" max="1" width="10.6640625" style="1"/>
    <col min="2" max="2" width="21.59765625" style="1" bestFit="1" customWidth="1"/>
    <col min="3" max="16384" width="10.6640625" style="1"/>
  </cols>
  <sheetData>
    <row r="1" spans="1:2" x14ac:dyDescent="0.4">
      <c r="A1" s="1" t="s">
        <v>16</v>
      </c>
      <c r="B1" s="2" t="s">
        <v>17</v>
      </c>
    </row>
    <row r="2" spans="1:2" x14ac:dyDescent="0.4">
      <c r="A2" s="1">
        <v>1</v>
      </c>
      <c r="B2" s="2" t="s">
        <v>2</v>
      </c>
    </row>
    <row r="3" spans="1:2" x14ac:dyDescent="0.4">
      <c r="A3" s="1">
        <v>2</v>
      </c>
      <c r="B3" s="2" t="s">
        <v>18</v>
      </c>
    </row>
    <row r="4" spans="1:2" x14ac:dyDescent="0.4">
      <c r="A4" s="1">
        <v>3</v>
      </c>
      <c r="B4" s="2" t="s">
        <v>19</v>
      </c>
    </row>
    <row r="5" spans="1:2" x14ac:dyDescent="0.4">
      <c r="A5" s="1">
        <v>4</v>
      </c>
      <c r="B5" s="2" t="s">
        <v>20</v>
      </c>
    </row>
    <row r="6" spans="1:2" x14ac:dyDescent="0.4">
      <c r="A6" s="1">
        <v>5</v>
      </c>
      <c r="B6" s="2" t="s">
        <v>21</v>
      </c>
    </row>
    <row r="7" spans="1:2" x14ac:dyDescent="0.4">
      <c r="A7" s="1">
        <v>6</v>
      </c>
      <c r="B7" s="2" t="s">
        <v>22</v>
      </c>
    </row>
    <row r="8" spans="1:2" x14ac:dyDescent="0.4">
      <c r="A8" s="1">
        <v>7</v>
      </c>
      <c r="B8" s="2" t="s">
        <v>23</v>
      </c>
    </row>
    <row r="9" spans="1:2" x14ac:dyDescent="0.4">
      <c r="A9" s="1">
        <v>8</v>
      </c>
      <c r="B9" s="2" t="s">
        <v>24</v>
      </c>
    </row>
    <row r="10" spans="1:2" x14ac:dyDescent="0.4">
      <c r="A10" s="1">
        <v>9</v>
      </c>
      <c r="B10" s="2" t="s">
        <v>25</v>
      </c>
    </row>
    <row r="11" spans="1:2" x14ac:dyDescent="0.4">
      <c r="A11" s="1">
        <v>10</v>
      </c>
      <c r="B11" s="2" t="s">
        <v>26</v>
      </c>
    </row>
    <row r="12" spans="1:2" x14ac:dyDescent="0.4">
      <c r="A12" s="1">
        <v>11</v>
      </c>
      <c r="B12" s="2" t="s">
        <v>27</v>
      </c>
    </row>
    <row r="13" spans="1:2" x14ac:dyDescent="0.4">
      <c r="A13" s="1">
        <v>12</v>
      </c>
      <c r="B13" s="2" t="s">
        <v>28</v>
      </c>
    </row>
    <row r="14" spans="1:2" x14ac:dyDescent="0.4">
      <c r="A14" s="1">
        <v>13</v>
      </c>
      <c r="B14" s="2" t="s">
        <v>29</v>
      </c>
    </row>
    <row r="15" spans="1:2" x14ac:dyDescent="0.4">
      <c r="A15" s="1">
        <v>14</v>
      </c>
      <c r="B15" s="2" t="s">
        <v>30</v>
      </c>
    </row>
    <row r="16" spans="1:2" x14ac:dyDescent="0.4">
      <c r="A16" s="1">
        <v>15</v>
      </c>
      <c r="B16" s="2" t="s">
        <v>31</v>
      </c>
    </row>
    <row r="17" spans="1:2" x14ac:dyDescent="0.4">
      <c r="A17" s="1">
        <v>16</v>
      </c>
      <c r="B17" s="2" t="s">
        <v>32</v>
      </c>
    </row>
    <row r="18" spans="1:2" x14ac:dyDescent="0.4">
      <c r="A18" s="1">
        <v>17</v>
      </c>
      <c r="B18" s="2" t="s">
        <v>3</v>
      </c>
    </row>
    <row r="19" spans="1:2" x14ac:dyDescent="0.4">
      <c r="A19" s="1">
        <v>18</v>
      </c>
      <c r="B19" s="2" t="s">
        <v>33</v>
      </c>
    </row>
    <row r="20" spans="1:2" x14ac:dyDescent="0.4">
      <c r="A20" s="1">
        <v>19</v>
      </c>
      <c r="B20" s="2" t="s">
        <v>34</v>
      </c>
    </row>
    <row r="21" spans="1:2" x14ac:dyDescent="0.4">
      <c r="A21" s="1">
        <v>20</v>
      </c>
      <c r="B21" s="2" t="s">
        <v>35</v>
      </c>
    </row>
    <row r="22" spans="1:2" x14ac:dyDescent="0.4">
      <c r="A22" s="1">
        <v>21</v>
      </c>
      <c r="B22" s="2" t="s">
        <v>36</v>
      </c>
    </row>
    <row r="23" spans="1:2" x14ac:dyDescent="0.4">
      <c r="A23" s="1">
        <v>22</v>
      </c>
      <c r="B23" s="2" t="s">
        <v>37</v>
      </c>
    </row>
    <row r="24" spans="1:2" x14ac:dyDescent="0.4">
      <c r="A24" s="1">
        <v>23</v>
      </c>
      <c r="B24" s="2" t="s">
        <v>38</v>
      </c>
    </row>
    <row r="25" spans="1:2" x14ac:dyDescent="0.4">
      <c r="A25" s="1">
        <v>24</v>
      </c>
      <c r="B25" s="2" t="s">
        <v>39</v>
      </c>
    </row>
    <row r="26" spans="1:2" x14ac:dyDescent="0.4">
      <c r="A26" s="1">
        <v>25</v>
      </c>
      <c r="B26" s="2" t="s">
        <v>40</v>
      </c>
    </row>
    <row r="27" spans="1:2" x14ac:dyDescent="0.4">
      <c r="A27" s="1">
        <v>26</v>
      </c>
      <c r="B27" s="2" t="s">
        <v>41</v>
      </c>
    </row>
    <row r="28" spans="1:2" x14ac:dyDescent="0.4">
      <c r="A28" s="1">
        <v>27</v>
      </c>
      <c r="B28" s="2" t="s">
        <v>42</v>
      </c>
    </row>
    <row r="29" spans="1:2" x14ac:dyDescent="0.4">
      <c r="A29" s="1">
        <v>28</v>
      </c>
      <c r="B29" s="2" t="s">
        <v>43</v>
      </c>
    </row>
    <row r="30" spans="1:2" x14ac:dyDescent="0.4">
      <c r="A30" s="1">
        <v>29</v>
      </c>
      <c r="B30" s="2" t="s">
        <v>44</v>
      </c>
    </row>
    <row r="31" spans="1:2" x14ac:dyDescent="0.4">
      <c r="A31" s="1">
        <v>30</v>
      </c>
      <c r="B31" s="2" t="s">
        <v>4</v>
      </c>
    </row>
    <row r="32" spans="1:2" x14ac:dyDescent="0.4">
      <c r="A32" s="1">
        <v>31</v>
      </c>
      <c r="B32" s="2" t="s">
        <v>45</v>
      </c>
    </row>
    <row r="33" spans="1:2" x14ac:dyDescent="0.4">
      <c r="A33" s="1">
        <v>32</v>
      </c>
      <c r="B33" s="2" t="s">
        <v>46</v>
      </c>
    </row>
    <row r="34" spans="1:2" x14ac:dyDescent="0.4">
      <c r="A34" s="1">
        <v>33</v>
      </c>
      <c r="B34" s="2" t="s">
        <v>47</v>
      </c>
    </row>
    <row r="35" spans="1:2" x14ac:dyDescent="0.4">
      <c r="A35" s="1">
        <v>34</v>
      </c>
      <c r="B35" s="2" t="s">
        <v>48</v>
      </c>
    </row>
    <row r="36" spans="1:2" x14ac:dyDescent="0.4">
      <c r="A36" s="1">
        <v>35</v>
      </c>
      <c r="B36" s="2" t="s">
        <v>49</v>
      </c>
    </row>
    <row r="37" spans="1:2" x14ac:dyDescent="0.4">
      <c r="A37" s="1">
        <v>36</v>
      </c>
      <c r="B37" s="2" t="s">
        <v>50</v>
      </c>
    </row>
    <row r="38" spans="1:2" x14ac:dyDescent="0.4">
      <c r="A38" s="1">
        <v>37</v>
      </c>
      <c r="B38" s="2" t="s">
        <v>51</v>
      </c>
    </row>
    <row r="39" spans="1:2" x14ac:dyDescent="0.4">
      <c r="A39" s="1">
        <v>38</v>
      </c>
      <c r="B39" s="2" t="s">
        <v>52</v>
      </c>
    </row>
    <row r="40" spans="1:2" x14ac:dyDescent="0.4">
      <c r="A40" s="1">
        <v>39</v>
      </c>
      <c r="B40" s="2" t="s">
        <v>53</v>
      </c>
    </row>
    <row r="41" spans="1:2" x14ac:dyDescent="0.4">
      <c r="A41" s="1">
        <v>40</v>
      </c>
      <c r="B41" s="2" t="s">
        <v>54</v>
      </c>
    </row>
    <row r="42" spans="1:2" x14ac:dyDescent="0.4">
      <c r="A42" s="1">
        <v>41</v>
      </c>
      <c r="B42" s="2" t="s">
        <v>55</v>
      </c>
    </row>
    <row r="43" spans="1:2" x14ac:dyDescent="0.4">
      <c r="A43" s="1">
        <v>42</v>
      </c>
      <c r="B43" s="2" t="s">
        <v>56</v>
      </c>
    </row>
    <row r="44" spans="1:2" x14ac:dyDescent="0.4">
      <c r="A44" s="1">
        <v>43</v>
      </c>
      <c r="B44" s="2" t="s">
        <v>57</v>
      </c>
    </row>
    <row r="45" spans="1:2" x14ac:dyDescent="0.4">
      <c r="A45" s="1">
        <v>44</v>
      </c>
      <c r="B45" s="2" t="s">
        <v>58</v>
      </c>
    </row>
    <row r="46" spans="1:2" x14ac:dyDescent="0.4">
      <c r="A46" s="1">
        <v>45</v>
      </c>
      <c r="B46" s="2" t="s">
        <v>59</v>
      </c>
    </row>
    <row r="47" spans="1:2" x14ac:dyDescent="0.4">
      <c r="A47" s="1">
        <v>46</v>
      </c>
      <c r="B47" s="2" t="s">
        <v>60</v>
      </c>
    </row>
    <row r="48" spans="1:2" x14ac:dyDescent="0.4">
      <c r="A48" s="1">
        <v>47</v>
      </c>
      <c r="B48" s="2" t="s">
        <v>61</v>
      </c>
    </row>
    <row r="49" spans="1:2" x14ac:dyDescent="0.4">
      <c r="A49" s="1">
        <v>48</v>
      </c>
      <c r="B49" s="2" t="s">
        <v>62</v>
      </c>
    </row>
    <row r="50" spans="1:2" x14ac:dyDescent="0.4">
      <c r="A50" s="1">
        <v>49</v>
      </c>
      <c r="B50" s="2" t="s">
        <v>63</v>
      </c>
    </row>
    <row r="51" spans="1:2" x14ac:dyDescent="0.4">
      <c r="A51" s="1">
        <v>50</v>
      </c>
      <c r="B51" s="2" t="s">
        <v>64</v>
      </c>
    </row>
    <row r="52" spans="1:2" x14ac:dyDescent="0.4">
      <c r="A52" s="1">
        <v>51</v>
      </c>
      <c r="B52" s="2" t="s">
        <v>65</v>
      </c>
    </row>
    <row r="53" spans="1:2" x14ac:dyDescent="0.4">
      <c r="A53" s="1">
        <v>52</v>
      </c>
      <c r="B53" s="2" t="s">
        <v>66</v>
      </c>
    </row>
    <row r="54" spans="1:2" x14ac:dyDescent="0.4">
      <c r="A54" s="1">
        <v>53</v>
      </c>
      <c r="B54" s="2" t="s">
        <v>67</v>
      </c>
    </row>
    <row r="55" spans="1:2" x14ac:dyDescent="0.4">
      <c r="A55" s="1">
        <v>54</v>
      </c>
      <c r="B55" s="2" t="s">
        <v>68</v>
      </c>
    </row>
    <row r="56" spans="1:2" x14ac:dyDescent="0.4">
      <c r="A56" s="1">
        <v>55</v>
      </c>
      <c r="B56" s="2" t="s">
        <v>69</v>
      </c>
    </row>
    <row r="57" spans="1:2" x14ac:dyDescent="0.4">
      <c r="A57" s="1">
        <v>56</v>
      </c>
      <c r="B57" s="2" t="s">
        <v>70</v>
      </c>
    </row>
    <row r="58" spans="1:2" x14ac:dyDescent="0.4">
      <c r="A58" s="1">
        <v>57</v>
      </c>
      <c r="B58" s="2" t="s">
        <v>71</v>
      </c>
    </row>
    <row r="59" spans="1:2" x14ac:dyDescent="0.4">
      <c r="A59" s="1">
        <v>58</v>
      </c>
      <c r="B59" s="2" t="s">
        <v>5</v>
      </c>
    </row>
    <row r="60" spans="1:2" x14ac:dyDescent="0.4">
      <c r="A60" s="1">
        <v>59</v>
      </c>
      <c r="B60" s="2" t="s">
        <v>72</v>
      </c>
    </row>
    <row r="61" spans="1:2" x14ac:dyDescent="0.4">
      <c r="A61" s="1">
        <v>60</v>
      </c>
      <c r="B61" s="2" t="s">
        <v>73</v>
      </c>
    </row>
    <row r="62" spans="1:2" x14ac:dyDescent="0.4">
      <c r="A62" s="1">
        <v>61</v>
      </c>
      <c r="B62" s="2" t="s">
        <v>74</v>
      </c>
    </row>
    <row r="63" spans="1:2" x14ac:dyDescent="0.4">
      <c r="A63" s="1">
        <v>62</v>
      </c>
      <c r="B63" s="2" t="s">
        <v>75</v>
      </c>
    </row>
    <row r="64" spans="1:2" x14ac:dyDescent="0.4">
      <c r="A64" s="1">
        <v>63</v>
      </c>
      <c r="B64" s="2" t="s">
        <v>76</v>
      </c>
    </row>
    <row r="65" spans="1:2" x14ac:dyDescent="0.4">
      <c r="A65" s="1">
        <v>64</v>
      </c>
      <c r="B65" s="2" t="s">
        <v>77</v>
      </c>
    </row>
    <row r="66" spans="1:2" x14ac:dyDescent="0.4">
      <c r="A66" s="1">
        <v>65</v>
      </c>
      <c r="B66" s="2" t="s">
        <v>78</v>
      </c>
    </row>
    <row r="67" spans="1:2" x14ac:dyDescent="0.4">
      <c r="A67" s="1">
        <v>66</v>
      </c>
      <c r="B67" s="2" t="s">
        <v>79</v>
      </c>
    </row>
    <row r="68" spans="1:2" x14ac:dyDescent="0.4">
      <c r="A68" s="1">
        <v>67</v>
      </c>
      <c r="B68" s="2" t="s">
        <v>80</v>
      </c>
    </row>
    <row r="69" spans="1:2" x14ac:dyDescent="0.4">
      <c r="A69" s="1">
        <v>68</v>
      </c>
      <c r="B69" s="2" t="s">
        <v>81</v>
      </c>
    </row>
    <row r="70" spans="1:2" x14ac:dyDescent="0.4">
      <c r="A70" s="1">
        <v>69</v>
      </c>
      <c r="B70" s="2" t="s">
        <v>82</v>
      </c>
    </row>
    <row r="71" spans="1:2" x14ac:dyDescent="0.4">
      <c r="A71" s="1">
        <v>70</v>
      </c>
      <c r="B71" s="2" t="s">
        <v>83</v>
      </c>
    </row>
    <row r="72" spans="1:2" x14ac:dyDescent="0.4">
      <c r="A72" s="1">
        <v>71</v>
      </c>
      <c r="B72" s="2" t="s">
        <v>84</v>
      </c>
    </row>
    <row r="73" spans="1:2" x14ac:dyDescent="0.4">
      <c r="A73" s="1">
        <v>72</v>
      </c>
      <c r="B73" s="2" t="s">
        <v>85</v>
      </c>
    </row>
    <row r="74" spans="1:2" x14ac:dyDescent="0.4">
      <c r="A74" s="1">
        <v>73</v>
      </c>
      <c r="B74" s="2" t="s">
        <v>86</v>
      </c>
    </row>
    <row r="75" spans="1:2" x14ac:dyDescent="0.4">
      <c r="A75" s="1">
        <v>74</v>
      </c>
      <c r="B75" s="2" t="s">
        <v>87</v>
      </c>
    </row>
    <row r="76" spans="1:2" x14ac:dyDescent="0.4">
      <c r="A76" s="1">
        <v>75</v>
      </c>
      <c r="B76" s="2" t="s">
        <v>88</v>
      </c>
    </row>
    <row r="77" spans="1:2" x14ac:dyDescent="0.4">
      <c r="A77" s="1">
        <v>76</v>
      </c>
      <c r="B77" s="2" t="s">
        <v>89</v>
      </c>
    </row>
    <row r="78" spans="1:2" x14ac:dyDescent="0.4">
      <c r="A78" s="1">
        <v>77</v>
      </c>
      <c r="B78" s="2" t="s">
        <v>90</v>
      </c>
    </row>
    <row r="79" spans="1:2" x14ac:dyDescent="0.4">
      <c r="A79" s="1">
        <v>78</v>
      </c>
      <c r="B79" s="2" t="s">
        <v>91</v>
      </c>
    </row>
    <row r="80" spans="1:2" x14ac:dyDescent="0.4">
      <c r="A80" s="1">
        <v>79</v>
      </c>
      <c r="B80" s="2" t="s">
        <v>92</v>
      </c>
    </row>
    <row r="81" spans="1:2" x14ac:dyDescent="0.4">
      <c r="A81" s="1">
        <v>80</v>
      </c>
      <c r="B81" s="2" t="s">
        <v>93</v>
      </c>
    </row>
    <row r="82" spans="1:2" x14ac:dyDescent="0.4">
      <c r="A82" s="1">
        <v>81</v>
      </c>
      <c r="B82" s="2" t="s">
        <v>94</v>
      </c>
    </row>
    <row r="83" spans="1:2" x14ac:dyDescent="0.4">
      <c r="A83" s="1">
        <v>82</v>
      </c>
      <c r="B83" s="2" t="s">
        <v>95</v>
      </c>
    </row>
    <row r="84" spans="1:2" x14ac:dyDescent="0.4">
      <c r="A84" s="1">
        <v>83</v>
      </c>
      <c r="B84" s="2" t="s">
        <v>96</v>
      </c>
    </row>
    <row r="85" spans="1:2" x14ac:dyDescent="0.4">
      <c r="A85" s="1">
        <v>84</v>
      </c>
      <c r="B85" s="2" t="s">
        <v>97</v>
      </c>
    </row>
    <row r="86" spans="1:2" x14ac:dyDescent="0.4">
      <c r="A86" s="1">
        <v>85</v>
      </c>
      <c r="B86" s="2" t="s">
        <v>98</v>
      </c>
    </row>
    <row r="87" spans="1:2" x14ac:dyDescent="0.4">
      <c r="A87" s="1">
        <v>86</v>
      </c>
      <c r="B87" s="2" t="s">
        <v>99</v>
      </c>
    </row>
    <row r="88" spans="1:2" x14ac:dyDescent="0.4">
      <c r="A88" s="1">
        <v>87</v>
      </c>
      <c r="B88" s="2" t="s">
        <v>100</v>
      </c>
    </row>
    <row r="89" spans="1:2" x14ac:dyDescent="0.4">
      <c r="A89" s="1">
        <v>88</v>
      </c>
      <c r="B89" s="2" t="s">
        <v>101</v>
      </c>
    </row>
    <row r="90" spans="1:2" x14ac:dyDescent="0.4">
      <c r="A90" s="1">
        <v>89</v>
      </c>
      <c r="B90" s="2" t="s">
        <v>102</v>
      </c>
    </row>
    <row r="91" spans="1:2" x14ac:dyDescent="0.4">
      <c r="A91" s="1">
        <v>90</v>
      </c>
      <c r="B91" s="2" t="s">
        <v>103</v>
      </c>
    </row>
    <row r="92" spans="1:2" x14ac:dyDescent="0.4">
      <c r="A92" s="1">
        <v>91</v>
      </c>
      <c r="B92" s="2" t="s">
        <v>104</v>
      </c>
    </row>
    <row r="93" spans="1:2" x14ac:dyDescent="0.4">
      <c r="A93" s="1">
        <v>92</v>
      </c>
      <c r="B93" s="2" t="s">
        <v>6</v>
      </c>
    </row>
    <row r="94" spans="1:2" x14ac:dyDescent="0.4">
      <c r="A94" s="1">
        <v>93</v>
      </c>
      <c r="B94" s="2" t="s">
        <v>105</v>
      </c>
    </row>
    <row r="95" spans="1:2" x14ac:dyDescent="0.4">
      <c r="A95" s="1">
        <v>94</v>
      </c>
      <c r="B95" s="2" t="s">
        <v>106</v>
      </c>
    </row>
    <row r="96" spans="1:2" x14ac:dyDescent="0.4">
      <c r="A96" s="1">
        <v>95</v>
      </c>
      <c r="B96" s="2" t="s">
        <v>107</v>
      </c>
    </row>
    <row r="97" spans="1:2" x14ac:dyDescent="0.4">
      <c r="A97" s="1">
        <v>96</v>
      </c>
      <c r="B97" s="2" t="s">
        <v>108</v>
      </c>
    </row>
    <row r="98" spans="1:2" x14ac:dyDescent="0.4">
      <c r="A98" s="1">
        <v>97</v>
      </c>
      <c r="B98" s="2" t="s">
        <v>109</v>
      </c>
    </row>
    <row r="99" spans="1:2" x14ac:dyDescent="0.4">
      <c r="A99" s="1">
        <v>98</v>
      </c>
      <c r="B99" s="2" t="s">
        <v>110</v>
      </c>
    </row>
    <row r="100" spans="1:2" x14ac:dyDescent="0.4">
      <c r="A100" s="1">
        <v>99</v>
      </c>
      <c r="B100" s="2" t="s">
        <v>111</v>
      </c>
    </row>
    <row r="101" spans="1:2" x14ac:dyDescent="0.4">
      <c r="A101" s="1">
        <v>100</v>
      </c>
      <c r="B101" s="2" t="s">
        <v>112</v>
      </c>
    </row>
    <row r="102" spans="1:2" x14ac:dyDescent="0.4">
      <c r="A102" s="1">
        <v>101</v>
      </c>
      <c r="B102" s="2" t="s">
        <v>113</v>
      </c>
    </row>
    <row r="103" spans="1:2" x14ac:dyDescent="0.4">
      <c r="A103" s="1">
        <v>102</v>
      </c>
      <c r="B103" s="2" t="s">
        <v>114</v>
      </c>
    </row>
    <row r="104" spans="1:2" x14ac:dyDescent="0.4">
      <c r="A104" s="1">
        <v>103</v>
      </c>
      <c r="B104" s="2" t="s">
        <v>115</v>
      </c>
    </row>
    <row r="105" spans="1:2" x14ac:dyDescent="0.4">
      <c r="A105" s="1">
        <v>104</v>
      </c>
      <c r="B105" s="2" t="s">
        <v>116</v>
      </c>
    </row>
    <row r="106" spans="1:2" x14ac:dyDescent="0.4">
      <c r="A106" s="1">
        <v>105</v>
      </c>
      <c r="B106" s="2" t="s">
        <v>117</v>
      </c>
    </row>
    <row r="107" spans="1:2" x14ac:dyDescent="0.4">
      <c r="A107" s="1">
        <v>106</v>
      </c>
      <c r="B107" s="2" t="s">
        <v>118</v>
      </c>
    </row>
    <row r="108" spans="1:2" x14ac:dyDescent="0.4">
      <c r="A108" s="1">
        <v>107</v>
      </c>
      <c r="B108" s="2" t="s">
        <v>119</v>
      </c>
    </row>
    <row r="109" spans="1:2" x14ac:dyDescent="0.4">
      <c r="A109" s="1">
        <v>108</v>
      </c>
      <c r="B109" s="2" t="s">
        <v>120</v>
      </c>
    </row>
    <row r="110" spans="1:2" x14ac:dyDescent="0.4">
      <c r="A110" s="1">
        <v>109</v>
      </c>
      <c r="B110" s="2" t="s">
        <v>121</v>
      </c>
    </row>
    <row r="111" spans="1:2" x14ac:dyDescent="0.4">
      <c r="A111" s="1">
        <v>110</v>
      </c>
      <c r="B111" s="2" t="s">
        <v>7</v>
      </c>
    </row>
    <row r="112" spans="1:2" x14ac:dyDescent="0.4">
      <c r="A112" s="1">
        <v>111</v>
      </c>
      <c r="B112" s="2" t="s">
        <v>122</v>
      </c>
    </row>
    <row r="113" spans="1:2" x14ac:dyDescent="0.4">
      <c r="A113" s="1">
        <v>112</v>
      </c>
      <c r="B113" s="2" t="s">
        <v>123</v>
      </c>
    </row>
    <row r="114" spans="1:2" x14ac:dyDescent="0.4">
      <c r="A114" s="1">
        <v>113</v>
      </c>
      <c r="B114" s="2" t="s">
        <v>124</v>
      </c>
    </row>
    <row r="115" spans="1:2" x14ac:dyDescent="0.4">
      <c r="A115" s="1">
        <v>114</v>
      </c>
      <c r="B115" s="2" t="s">
        <v>125</v>
      </c>
    </row>
    <row r="116" spans="1:2" x14ac:dyDescent="0.4">
      <c r="A116" s="1">
        <v>115</v>
      </c>
      <c r="B116" s="2" t="s">
        <v>126</v>
      </c>
    </row>
    <row r="117" spans="1:2" x14ac:dyDescent="0.4">
      <c r="A117" s="1">
        <v>116</v>
      </c>
      <c r="B117" s="2" t="s">
        <v>127</v>
      </c>
    </row>
    <row r="118" spans="1:2" x14ac:dyDescent="0.4">
      <c r="A118" s="1">
        <v>117</v>
      </c>
      <c r="B118" s="2" t="s">
        <v>128</v>
      </c>
    </row>
    <row r="119" spans="1:2" x14ac:dyDescent="0.4">
      <c r="A119" s="1">
        <v>118</v>
      </c>
      <c r="B119" s="2" t="s">
        <v>129</v>
      </c>
    </row>
    <row r="120" spans="1:2" x14ac:dyDescent="0.4">
      <c r="A120" s="1">
        <v>119</v>
      </c>
      <c r="B120" s="2" t="s">
        <v>130</v>
      </c>
    </row>
    <row r="121" spans="1:2" x14ac:dyDescent="0.4">
      <c r="A121" s="1">
        <v>120</v>
      </c>
      <c r="B121" s="2" t="s">
        <v>131</v>
      </c>
    </row>
    <row r="122" spans="1:2" x14ac:dyDescent="0.4">
      <c r="A122" s="1">
        <v>121</v>
      </c>
      <c r="B122" s="2" t="s">
        <v>132</v>
      </c>
    </row>
    <row r="123" spans="1:2" x14ac:dyDescent="0.4">
      <c r="A123" s="1">
        <v>122</v>
      </c>
      <c r="B123" s="2" t="s">
        <v>133</v>
      </c>
    </row>
    <row r="124" spans="1:2" x14ac:dyDescent="0.4">
      <c r="A124" s="1">
        <v>123</v>
      </c>
      <c r="B124" s="2" t="s">
        <v>134</v>
      </c>
    </row>
    <row r="125" spans="1:2" x14ac:dyDescent="0.4">
      <c r="A125" s="1">
        <v>124</v>
      </c>
      <c r="B125" s="2" t="s">
        <v>135</v>
      </c>
    </row>
    <row r="126" spans="1:2" x14ac:dyDescent="0.4">
      <c r="A126" s="1">
        <v>125</v>
      </c>
      <c r="B126" s="2" t="s">
        <v>136</v>
      </c>
    </row>
    <row r="127" spans="1:2" x14ac:dyDescent="0.4">
      <c r="A127" s="1">
        <v>126</v>
      </c>
      <c r="B127" s="2" t="s">
        <v>137</v>
      </c>
    </row>
    <row r="128" spans="1:2" x14ac:dyDescent="0.4">
      <c r="A128" s="1">
        <v>127</v>
      </c>
      <c r="B128" s="2" t="s">
        <v>138</v>
      </c>
    </row>
    <row r="129" spans="1:2" x14ac:dyDescent="0.4">
      <c r="A129" s="1">
        <v>128</v>
      </c>
      <c r="B129" s="2" t="s">
        <v>139</v>
      </c>
    </row>
    <row r="130" spans="1:2" x14ac:dyDescent="0.4">
      <c r="A130" s="1">
        <v>129</v>
      </c>
      <c r="B130" s="2" t="s">
        <v>140</v>
      </c>
    </row>
    <row r="131" spans="1:2" x14ac:dyDescent="0.4">
      <c r="A131" s="1">
        <v>130</v>
      </c>
      <c r="B131" s="2" t="s">
        <v>141</v>
      </c>
    </row>
    <row r="132" spans="1:2" x14ac:dyDescent="0.4">
      <c r="A132" s="1">
        <v>131</v>
      </c>
      <c r="B132" s="2" t="s">
        <v>142</v>
      </c>
    </row>
    <row r="133" spans="1:2" x14ac:dyDescent="0.4">
      <c r="A133" s="1">
        <v>132</v>
      </c>
      <c r="B133" s="2" t="s">
        <v>143</v>
      </c>
    </row>
    <row r="134" spans="1:2" x14ac:dyDescent="0.4">
      <c r="A134" s="1">
        <v>133</v>
      </c>
      <c r="B134" s="2" t="s">
        <v>144</v>
      </c>
    </row>
    <row r="135" spans="1:2" x14ac:dyDescent="0.4">
      <c r="A135" s="1">
        <v>134</v>
      </c>
      <c r="B135" s="2" t="s">
        <v>145</v>
      </c>
    </row>
    <row r="136" spans="1:2" x14ac:dyDescent="0.4">
      <c r="A136" s="1">
        <v>135</v>
      </c>
      <c r="B136" s="2" t="s">
        <v>146</v>
      </c>
    </row>
    <row r="137" spans="1:2" x14ac:dyDescent="0.4">
      <c r="A137" s="1">
        <v>136</v>
      </c>
      <c r="B137" s="2" t="s">
        <v>147</v>
      </c>
    </row>
    <row r="138" spans="1:2" x14ac:dyDescent="0.4">
      <c r="A138" s="1">
        <v>137</v>
      </c>
      <c r="B138" s="2" t="s">
        <v>148</v>
      </c>
    </row>
    <row r="139" spans="1:2" x14ac:dyDescent="0.4">
      <c r="A139" s="1">
        <v>138</v>
      </c>
      <c r="B139" s="2" t="s">
        <v>149</v>
      </c>
    </row>
    <row r="140" spans="1:2" x14ac:dyDescent="0.4">
      <c r="A140" s="1">
        <v>139</v>
      </c>
      <c r="B140" s="2" t="s">
        <v>150</v>
      </c>
    </row>
    <row r="141" spans="1:2" x14ac:dyDescent="0.4">
      <c r="A141" s="1">
        <v>140</v>
      </c>
      <c r="B141" s="2" t="s">
        <v>151</v>
      </c>
    </row>
    <row r="142" spans="1:2" x14ac:dyDescent="0.4">
      <c r="A142" s="1">
        <v>141</v>
      </c>
      <c r="B142" s="2" t="s">
        <v>152</v>
      </c>
    </row>
    <row r="143" spans="1:2" x14ac:dyDescent="0.4">
      <c r="A143" s="1">
        <v>142</v>
      </c>
      <c r="B143" s="2" t="s">
        <v>153</v>
      </c>
    </row>
    <row r="144" spans="1:2" x14ac:dyDescent="0.4">
      <c r="A144" s="1">
        <v>143</v>
      </c>
      <c r="B144" s="2" t="s">
        <v>154</v>
      </c>
    </row>
    <row r="145" spans="1:2" x14ac:dyDescent="0.4">
      <c r="A145" s="1">
        <v>144</v>
      </c>
      <c r="B145" s="2" t="s">
        <v>155</v>
      </c>
    </row>
    <row r="146" spans="1:2" x14ac:dyDescent="0.4">
      <c r="A146" s="1">
        <v>145</v>
      </c>
      <c r="B146" s="2" t="s">
        <v>156</v>
      </c>
    </row>
    <row r="147" spans="1:2" x14ac:dyDescent="0.4">
      <c r="A147" s="1">
        <v>146</v>
      </c>
      <c r="B147" s="2" t="s">
        <v>134</v>
      </c>
    </row>
    <row r="148" spans="1:2" x14ac:dyDescent="0.4">
      <c r="A148" s="1">
        <v>147</v>
      </c>
      <c r="B148" s="2" t="s">
        <v>157</v>
      </c>
    </row>
    <row r="149" spans="1:2" x14ac:dyDescent="0.4">
      <c r="A149" s="1">
        <v>148</v>
      </c>
      <c r="B149" s="2" t="s">
        <v>158</v>
      </c>
    </row>
    <row r="150" spans="1:2" x14ac:dyDescent="0.4">
      <c r="A150" s="1">
        <v>149</v>
      </c>
      <c r="B150" s="2" t="s">
        <v>159</v>
      </c>
    </row>
    <row r="151" spans="1:2" x14ac:dyDescent="0.4">
      <c r="A151" s="1">
        <v>150</v>
      </c>
      <c r="B151" s="2" t="s">
        <v>160</v>
      </c>
    </row>
    <row r="152" spans="1:2" x14ac:dyDescent="0.4">
      <c r="A152" s="1">
        <v>151</v>
      </c>
      <c r="B152" s="2" t="s">
        <v>161</v>
      </c>
    </row>
    <row r="153" spans="1:2" x14ac:dyDescent="0.4">
      <c r="A153" s="1">
        <v>152</v>
      </c>
      <c r="B153" s="2" t="s">
        <v>162</v>
      </c>
    </row>
    <row r="154" spans="1:2" x14ac:dyDescent="0.4">
      <c r="A154" s="1">
        <v>153</v>
      </c>
      <c r="B154" s="2" t="s">
        <v>163</v>
      </c>
    </row>
    <row r="155" spans="1:2" x14ac:dyDescent="0.4">
      <c r="A155" s="1">
        <v>154</v>
      </c>
      <c r="B155" s="2" t="s">
        <v>164</v>
      </c>
    </row>
    <row r="156" spans="1:2" x14ac:dyDescent="0.4">
      <c r="A156" s="1">
        <v>155</v>
      </c>
      <c r="B156" s="2" t="s">
        <v>165</v>
      </c>
    </row>
    <row r="157" spans="1:2" x14ac:dyDescent="0.4">
      <c r="A157" s="1">
        <v>156</v>
      </c>
      <c r="B157" s="2" t="s">
        <v>166</v>
      </c>
    </row>
    <row r="158" spans="1:2" x14ac:dyDescent="0.4">
      <c r="A158" s="1">
        <v>157</v>
      </c>
      <c r="B158" s="2" t="s">
        <v>167</v>
      </c>
    </row>
    <row r="159" spans="1:2" x14ac:dyDescent="0.4">
      <c r="A159" s="1">
        <v>158</v>
      </c>
      <c r="B159" s="2" t="s">
        <v>168</v>
      </c>
    </row>
    <row r="160" spans="1:2" x14ac:dyDescent="0.4">
      <c r="A160" s="1">
        <v>159</v>
      </c>
      <c r="B160" s="2" t="s">
        <v>169</v>
      </c>
    </row>
    <row r="161" spans="1:2" x14ac:dyDescent="0.4">
      <c r="A161" s="1">
        <v>160</v>
      </c>
      <c r="B161" s="2" t="s">
        <v>170</v>
      </c>
    </row>
    <row r="162" spans="1:2" x14ac:dyDescent="0.4">
      <c r="A162" s="1">
        <v>161</v>
      </c>
      <c r="B162" s="2" t="s">
        <v>171</v>
      </c>
    </row>
    <row r="163" spans="1:2" x14ac:dyDescent="0.4">
      <c r="A163" s="1">
        <v>162</v>
      </c>
      <c r="B163" s="2" t="s">
        <v>172</v>
      </c>
    </row>
    <row r="164" spans="1:2" x14ac:dyDescent="0.4">
      <c r="A164" s="1">
        <v>163</v>
      </c>
      <c r="B164" s="2" t="s">
        <v>173</v>
      </c>
    </row>
    <row r="165" spans="1:2" x14ac:dyDescent="0.4">
      <c r="A165" s="1">
        <v>164</v>
      </c>
      <c r="B165" s="2" t="s">
        <v>174</v>
      </c>
    </row>
    <row r="166" spans="1:2" x14ac:dyDescent="0.4">
      <c r="A166" s="1">
        <v>165</v>
      </c>
      <c r="B166" s="2" t="s">
        <v>175</v>
      </c>
    </row>
    <row r="167" spans="1:2" x14ac:dyDescent="0.4">
      <c r="A167" s="1">
        <v>166</v>
      </c>
      <c r="B167" s="2" t="s">
        <v>176</v>
      </c>
    </row>
    <row r="168" spans="1:2" x14ac:dyDescent="0.4">
      <c r="A168" s="1">
        <v>167</v>
      </c>
      <c r="B168" s="2" t="s">
        <v>177</v>
      </c>
    </row>
    <row r="169" spans="1:2" x14ac:dyDescent="0.4">
      <c r="A169" s="1">
        <v>168</v>
      </c>
      <c r="B169" s="2" t="s">
        <v>27</v>
      </c>
    </row>
    <row r="170" spans="1:2" x14ac:dyDescent="0.4">
      <c r="A170" s="1">
        <v>169</v>
      </c>
      <c r="B170" s="2" t="s">
        <v>178</v>
      </c>
    </row>
    <row r="171" spans="1:2" x14ac:dyDescent="0.4">
      <c r="A171" s="1">
        <v>170</v>
      </c>
      <c r="B171" s="2" t="s">
        <v>11</v>
      </c>
    </row>
    <row r="172" spans="1:2" x14ac:dyDescent="0.4">
      <c r="A172" s="1">
        <v>171</v>
      </c>
      <c r="B172" s="2" t="s">
        <v>179</v>
      </c>
    </row>
    <row r="173" spans="1:2" x14ac:dyDescent="0.4">
      <c r="A173" s="1">
        <v>172</v>
      </c>
      <c r="B173" s="2" t="s">
        <v>180</v>
      </c>
    </row>
    <row r="174" spans="1:2" x14ac:dyDescent="0.4">
      <c r="A174" s="1">
        <v>173</v>
      </c>
      <c r="B174" s="2" t="s">
        <v>181</v>
      </c>
    </row>
    <row r="175" spans="1:2" x14ac:dyDescent="0.4">
      <c r="A175" s="1">
        <v>174</v>
      </c>
      <c r="B175" s="2" t="s">
        <v>182</v>
      </c>
    </row>
    <row r="176" spans="1:2" x14ac:dyDescent="0.4">
      <c r="A176" s="1">
        <v>175</v>
      </c>
      <c r="B176" s="2" t="s">
        <v>183</v>
      </c>
    </row>
    <row r="177" spans="1:2" x14ac:dyDescent="0.4">
      <c r="A177" s="1">
        <v>176</v>
      </c>
      <c r="B177" s="2" t="s">
        <v>184</v>
      </c>
    </row>
    <row r="178" spans="1:2" x14ac:dyDescent="0.4">
      <c r="A178" s="1">
        <v>177</v>
      </c>
      <c r="B178" s="2" t="s">
        <v>185</v>
      </c>
    </row>
    <row r="179" spans="1:2" x14ac:dyDescent="0.4">
      <c r="A179" s="1">
        <v>178</v>
      </c>
      <c r="B179" s="2" t="s">
        <v>186</v>
      </c>
    </row>
    <row r="180" spans="1:2" x14ac:dyDescent="0.4">
      <c r="A180" s="1">
        <v>179</v>
      </c>
      <c r="B180" s="2" t="s">
        <v>187</v>
      </c>
    </row>
    <row r="181" spans="1:2" x14ac:dyDescent="0.4">
      <c r="A181" s="1">
        <v>180</v>
      </c>
      <c r="B181" s="2" t="s">
        <v>188</v>
      </c>
    </row>
    <row r="182" spans="1:2" x14ac:dyDescent="0.4">
      <c r="A182" s="1">
        <v>181</v>
      </c>
      <c r="B182" s="2" t="s">
        <v>189</v>
      </c>
    </row>
    <row r="183" spans="1:2" x14ac:dyDescent="0.4">
      <c r="A183" s="1">
        <v>182</v>
      </c>
      <c r="B183" s="2" t="s">
        <v>190</v>
      </c>
    </row>
    <row r="184" spans="1:2" x14ac:dyDescent="0.4">
      <c r="A184" s="1">
        <v>183</v>
      </c>
      <c r="B184" s="2" t="s">
        <v>191</v>
      </c>
    </row>
    <row r="185" spans="1:2" x14ac:dyDescent="0.4">
      <c r="A185" s="1">
        <v>184</v>
      </c>
      <c r="B185" s="2" t="s">
        <v>192</v>
      </c>
    </row>
    <row r="186" spans="1:2" x14ac:dyDescent="0.4">
      <c r="A186" s="1">
        <v>185</v>
      </c>
      <c r="B186" s="2" t="s">
        <v>193</v>
      </c>
    </row>
    <row r="187" spans="1:2" x14ac:dyDescent="0.4">
      <c r="A187" s="1">
        <v>186</v>
      </c>
      <c r="B187" s="2" t="s">
        <v>194</v>
      </c>
    </row>
    <row r="188" spans="1:2" x14ac:dyDescent="0.4">
      <c r="A188" s="1">
        <v>187</v>
      </c>
      <c r="B188" s="2" t="s">
        <v>195</v>
      </c>
    </row>
    <row r="189" spans="1:2" x14ac:dyDescent="0.4">
      <c r="A189" s="1">
        <v>188</v>
      </c>
      <c r="B189" s="2" t="s">
        <v>196</v>
      </c>
    </row>
    <row r="190" spans="1:2" x14ac:dyDescent="0.4">
      <c r="A190" s="1">
        <v>189</v>
      </c>
      <c r="B190" s="2" t="s">
        <v>197</v>
      </c>
    </row>
    <row r="191" spans="1:2" x14ac:dyDescent="0.4">
      <c r="A191" s="1">
        <v>190</v>
      </c>
      <c r="B191" s="2" t="s">
        <v>198</v>
      </c>
    </row>
    <row r="192" spans="1:2" x14ac:dyDescent="0.4">
      <c r="A192" s="1">
        <v>191</v>
      </c>
      <c r="B192" s="2" t="s">
        <v>199</v>
      </c>
    </row>
    <row r="193" spans="1:2" x14ac:dyDescent="0.4">
      <c r="A193" s="1">
        <v>192</v>
      </c>
      <c r="B193" s="2" t="s">
        <v>200</v>
      </c>
    </row>
    <row r="194" spans="1:2" x14ac:dyDescent="0.4">
      <c r="A194" s="1">
        <v>193</v>
      </c>
      <c r="B194" s="2" t="s">
        <v>201</v>
      </c>
    </row>
    <row r="195" spans="1:2" x14ac:dyDescent="0.4">
      <c r="A195" s="1">
        <v>194</v>
      </c>
      <c r="B195" s="2" t="s">
        <v>202</v>
      </c>
    </row>
    <row r="196" spans="1:2" x14ac:dyDescent="0.4">
      <c r="A196" s="1">
        <v>195</v>
      </c>
      <c r="B196" s="2" t="s">
        <v>203</v>
      </c>
    </row>
    <row r="197" spans="1:2" x14ac:dyDescent="0.4">
      <c r="A197" s="1">
        <v>196</v>
      </c>
      <c r="B197" s="2" t="s">
        <v>204</v>
      </c>
    </row>
    <row r="198" spans="1:2" x14ac:dyDescent="0.4">
      <c r="A198" s="1">
        <v>197</v>
      </c>
      <c r="B198" s="2" t="s">
        <v>205</v>
      </c>
    </row>
    <row r="199" spans="1:2" x14ac:dyDescent="0.4">
      <c r="A199" s="1">
        <v>198</v>
      </c>
      <c r="B199" s="2" t="s">
        <v>206</v>
      </c>
    </row>
    <row r="200" spans="1:2" x14ac:dyDescent="0.4">
      <c r="A200" s="1">
        <v>199</v>
      </c>
      <c r="B200" s="2" t="s">
        <v>207</v>
      </c>
    </row>
    <row r="201" spans="1:2" x14ac:dyDescent="0.4">
      <c r="A201" s="1">
        <v>200</v>
      </c>
      <c r="B201" s="2" t="s">
        <v>208</v>
      </c>
    </row>
    <row r="202" spans="1:2" x14ac:dyDescent="0.4">
      <c r="A202" s="1">
        <v>201</v>
      </c>
      <c r="B202" s="2" t="s">
        <v>209</v>
      </c>
    </row>
    <row r="203" spans="1:2" x14ac:dyDescent="0.4">
      <c r="A203" s="1">
        <v>202</v>
      </c>
      <c r="B203" s="2" t="s">
        <v>210</v>
      </c>
    </row>
    <row r="204" spans="1:2" x14ac:dyDescent="0.4">
      <c r="A204" s="1">
        <v>203</v>
      </c>
      <c r="B204" s="2" t="s">
        <v>211</v>
      </c>
    </row>
    <row r="205" spans="1:2" x14ac:dyDescent="0.4">
      <c r="A205" s="1">
        <v>204</v>
      </c>
      <c r="B205" s="2" t="s">
        <v>212</v>
      </c>
    </row>
    <row r="206" spans="1:2" x14ac:dyDescent="0.4">
      <c r="A206" s="1">
        <v>205</v>
      </c>
      <c r="B206" s="2" t="s">
        <v>213</v>
      </c>
    </row>
    <row r="207" spans="1:2" x14ac:dyDescent="0.4">
      <c r="A207" s="1">
        <v>206</v>
      </c>
      <c r="B207" s="2" t="s">
        <v>214</v>
      </c>
    </row>
    <row r="208" spans="1:2" x14ac:dyDescent="0.4">
      <c r="A208" s="1">
        <v>207</v>
      </c>
      <c r="B208" s="2" t="s">
        <v>13</v>
      </c>
    </row>
    <row r="209" spans="1:2" x14ac:dyDescent="0.4">
      <c r="A209" s="1">
        <v>208</v>
      </c>
      <c r="B209" s="2" t="s">
        <v>215</v>
      </c>
    </row>
    <row r="210" spans="1:2" x14ac:dyDescent="0.4">
      <c r="A210" s="1">
        <v>209</v>
      </c>
      <c r="B210" s="2" t="s">
        <v>216</v>
      </c>
    </row>
    <row r="211" spans="1:2" x14ac:dyDescent="0.4">
      <c r="A211" s="1">
        <v>210</v>
      </c>
      <c r="B211" s="2" t="s">
        <v>217</v>
      </c>
    </row>
    <row r="212" spans="1:2" x14ac:dyDescent="0.4">
      <c r="A212" s="1">
        <v>211</v>
      </c>
      <c r="B212" s="2" t="s">
        <v>218</v>
      </c>
    </row>
    <row r="213" spans="1:2" x14ac:dyDescent="0.4">
      <c r="A213" s="1">
        <v>212</v>
      </c>
      <c r="B213" s="2" t="s">
        <v>219</v>
      </c>
    </row>
    <row r="214" spans="1:2" x14ac:dyDescent="0.4">
      <c r="A214" s="1">
        <v>213</v>
      </c>
      <c r="B214" s="2" t="s">
        <v>220</v>
      </c>
    </row>
    <row r="215" spans="1:2" x14ac:dyDescent="0.4">
      <c r="A215" s="1">
        <v>214</v>
      </c>
      <c r="B215" s="2" t="s">
        <v>221</v>
      </c>
    </row>
    <row r="216" spans="1:2" x14ac:dyDescent="0.4">
      <c r="A216" s="1">
        <v>215</v>
      </c>
      <c r="B216" s="2" t="s">
        <v>222</v>
      </c>
    </row>
    <row r="217" spans="1:2" x14ac:dyDescent="0.4">
      <c r="A217" s="1">
        <v>216</v>
      </c>
      <c r="B217" s="2" t="s">
        <v>223</v>
      </c>
    </row>
    <row r="218" spans="1:2" x14ac:dyDescent="0.4">
      <c r="A218" s="1">
        <v>217</v>
      </c>
      <c r="B218" s="2" t="s">
        <v>224</v>
      </c>
    </row>
    <row r="219" spans="1:2" x14ac:dyDescent="0.4">
      <c r="A219" s="1">
        <v>218</v>
      </c>
      <c r="B219" s="2" t="s">
        <v>225</v>
      </c>
    </row>
    <row r="220" spans="1:2" x14ac:dyDescent="0.4">
      <c r="A220" s="1">
        <v>219</v>
      </c>
      <c r="B220" s="2" t="s">
        <v>226</v>
      </c>
    </row>
    <row r="221" spans="1:2" x14ac:dyDescent="0.4">
      <c r="A221" s="1">
        <v>220</v>
      </c>
      <c r="B221" s="2" t="s">
        <v>227</v>
      </c>
    </row>
    <row r="222" spans="1:2" x14ac:dyDescent="0.4">
      <c r="A222" s="1">
        <v>221</v>
      </c>
      <c r="B222" s="2" t="s">
        <v>228</v>
      </c>
    </row>
    <row r="223" spans="1:2" x14ac:dyDescent="0.4">
      <c r="A223" s="1">
        <v>222</v>
      </c>
      <c r="B223" s="2" t="s">
        <v>134</v>
      </c>
    </row>
    <row r="224" spans="1:2" x14ac:dyDescent="0.4">
      <c r="A224" s="1">
        <v>223</v>
      </c>
      <c r="B224" s="2" t="s">
        <v>229</v>
      </c>
    </row>
    <row r="225" spans="1:2" x14ac:dyDescent="0.4">
      <c r="A225" s="1">
        <v>224</v>
      </c>
      <c r="B225" s="2" t="s">
        <v>230</v>
      </c>
    </row>
    <row r="226" spans="1:2" x14ac:dyDescent="0.4">
      <c r="A226" s="1">
        <v>225</v>
      </c>
      <c r="B226" s="2" t="s">
        <v>231</v>
      </c>
    </row>
    <row r="227" spans="1:2" x14ac:dyDescent="0.4">
      <c r="A227" s="1">
        <v>226</v>
      </c>
      <c r="B227" s="2" t="s">
        <v>232</v>
      </c>
    </row>
    <row r="228" spans="1:2" x14ac:dyDescent="0.4">
      <c r="A228" s="1">
        <v>227</v>
      </c>
      <c r="B228" s="2" t="s">
        <v>64</v>
      </c>
    </row>
    <row r="229" spans="1:2" x14ac:dyDescent="0.4">
      <c r="A229" s="1">
        <v>228</v>
      </c>
      <c r="B229" s="2" t="s">
        <v>165</v>
      </c>
    </row>
    <row r="230" spans="1:2" x14ac:dyDescent="0.4">
      <c r="A230" s="1">
        <v>229</v>
      </c>
      <c r="B230" s="2" t="s">
        <v>233</v>
      </c>
    </row>
    <row r="231" spans="1:2" x14ac:dyDescent="0.4">
      <c r="A231" s="1">
        <v>230</v>
      </c>
      <c r="B231" s="2" t="s">
        <v>234</v>
      </c>
    </row>
    <row r="232" spans="1:2" x14ac:dyDescent="0.4">
      <c r="A232" s="1">
        <v>231</v>
      </c>
      <c r="B232" s="2" t="s">
        <v>235</v>
      </c>
    </row>
    <row r="233" spans="1:2" x14ac:dyDescent="0.4">
      <c r="A233" s="1">
        <v>232</v>
      </c>
      <c r="B233" s="2" t="s">
        <v>236</v>
      </c>
    </row>
    <row r="234" spans="1:2" x14ac:dyDescent="0.4">
      <c r="A234" s="1">
        <v>233</v>
      </c>
      <c r="B234" s="2" t="s">
        <v>237</v>
      </c>
    </row>
    <row r="235" spans="1:2" x14ac:dyDescent="0.4">
      <c r="A235" s="1">
        <v>234</v>
      </c>
      <c r="B235" s="2" t="s">
        <v>238</v>
      </c>
    </row>
    <row r="236" spans="1:2" x14ac:dyDescent="0.4">
      <c r="A236" s="1">
        <v>235</v>
      </c>
      <c r="B236" s="2" t="s">
        <v>239</v>
      </c>
    </row>
    <row r="237" spans="1:2" x14ac:dyDescent="0.4">
      <c r="A237" s="1">
        <v>236</v>
      </c>
      <c r="B237" s="2" t="s">
        <v>240</v>
      </c>
    </row>
    <row r="238" spans="1:2" x14ac:dyDescent="0.4">
      <c r="A238" s="1">
        <v>237</v>
      </c>
      <c r="B238" s="2" t="s">
        <v>241</v>
      </c>
    </row>
    <row r="239" spans="1:2" x14ac:dyDescent="0.4">
      <c r="A239" s="1">
        <v>238</v>
      </c>
      <c r="B239" s="2" t="s">
        <v>242</v>
      </c>
    </row>
    <row r="240" spans="1:2" x14ac:dyDescent="0.4">
      <c r="A240" s="1">
        <v>239</v>
      </c>
      <c r="B240" s="2" t="s">
        <v>243</v>
      </c>
    </row>
    <row r="241" spans="1:2" x14ac:dyDescent="0.4">
      <c r="A241" s="1">
        <v>240</v>
      </c>
      <c r="B241" s="2" t="s">
        <v>244</v>
      </c>
    </row>
    <row r="242" spans="1:2" x14ac:dyDescent="0.4">
      <c r="A242" s="1">
        <v>241</v>
      </c>
      <c r="B242" s="2" t="s">
        <v>245</v>
      </c>
    </row>
    <row r="243" spans="1:2" x14ac:dyDescent="0.4">
      <c r="A243" s="1">
        <v>242</v>
      </c>
      <c r="B243" s="2" t="s">
        <v>246</v>
      </c>
    </row>
    <row r="244" spans="1:2" x14ac:dyDescent="0.4">
      <c r="A244" s="1">
        <v>243</v>
      </c>
      <c r="B244" s="2" t="s">
        <v>247</v>
      </c>
    </row>
    <row r="245" spans="1:2" x14ac:dyDescent="0.4">
      <c r="A245" s="1">
        <v>244</v>
      </c>
      <c r="B245" s="2" t="s">
        <v>248</v>
      </c>
    </row>
    <row r="246" spans="1:2" x14ac:dyDescent="0.4">
      <c r="A246" s="1">
        <v>245</v>
      </c>
      <c r="B246" s="2" t="s">
        <v>249</v>
      </c>
    </row>
    <row r="247" spans="1:2" x14ac:dyDescent="0.4">
      <c r="A247" s="1">
        <v>246</v>
      </c>
      <c r="B247" s="2" t="s">
        <v>250</v>
      </c>
    </row>
    <row r="248" spans="1:2" x14ac:dyDescent="0.4">
      <c r="A248" s="1">
        <v>247</v>
      </c>
      <c r="B248" s="2" t="s">
        <v>251</v>
      </c>
    </row>
    <row r="249" spans="1:2" x14ac:dyDescent="0.4">
      <c r="A249" s="1">
        <v>248</v>
      </c>
      <c r="B249" s="2" t="s">
        <v>252</v>
      </c>
    </row>
    <row r="250" spans="1:2" x14ac:dyDescent="0.4">
      <c r="A250" s="1">
        <v>249</v>
      </c>
      <c r="B250" s="2" t="s">
        <v>253</v>
      </c>
    </row>
    <row r="251" spans="1:2" x14ac:dyDescent="0.4">
      <c r="A251" s="1">
        <v>250</v>
      </c>
      <c r="B251" s="2" t="s">
        <v>254</v>
      </c>
    </row>
    <row r="252" spans="1:2" x14ac:dyDescent="0.4">
      <c r="A252" s="1">
        <v>251</v>
      </c>
      <c r="B252" s="2" t="s">
        <v>255</v>
      </c>
    </row>
    <row r="253" spans="1:2" x14ac:dyDescent="0.4">
      <c r="A253" s="1">
        <v>252</v>
      </c>
      <c r="B253" s="2" t="s">
        <v>256</v>
      </c>
    </row>
    <row r="254" spans="1:2" x14ac:dyDescent="0.4">
      <c r="A254" s="1">
        <v>253</v>
      </c>
      <c r="B254" s="2" t="s">
        <v>257</v>
      </c>
    </row>
    <row r="255" spans="1:2" x14ac:dyDescent="0.4">
      <c r="A255" s="1">
        <v>254</v>
      </c>
      <c r="B255" s="2" t="s">
        <v>258</v>
      </c>
    </row>
    <row r="256" spans="1:2" x14ac:dyDescent="0.4">
      <c r="A256" s="1">
        <v>255</v>
      </c>
      <c r="B256" s="2" t="s">
        <v>259</v>
      </c>
    </row>
    <row r="257" spans="1:2" x14ac:dyDescent="0.4">
      <c r="A257" s="1">
        <v>256</v>
      </c>
      <c r="B257" s="2" t="s">
        <v>156</v>
      </c>
    </row>
    <row r="258" spans="1:2" x14ac:dyDescent="0.4">
      <c r="A258" s="1">
        <v>257</v>
      </c>
      <c r="B258" s="2" t="s">
        <v>260</v>
      </c>
    </row>
    <row r="259" spans="1:2" x14ac:dyDescent="0.4">
      <c r="A259" s="1">
        <v>258</v>
      </c>
      <c r="B259" s="2" t="s">
        <v>261</v>
      </c>
    </row>
    <row r="260" spans="1:2" x14ac:dyDescent="0.4">
      <c r="A260" s="1">
        <v>259</v>
      </c>
      <c r="B260" s="2" t="s">
        <v>262</v>
      </c>
    </row>
    <row r="261" spans="1:2" x14ac:dyDescent="0.4">
      <c r="A261" s="1">
        <v>260</v>
      </c>
      <c r="B261" s="2" t="s">
        <v>263</v>
      </c>
    </row>
    <row r="262" spans="1:2" x14ac:dyDescent="0.4">
      <c r="A262" s="1">
        <v>261</v>
      </c>
      <c r="B262" s="2" t="s">
        <v>264</v>
      </c>
    </row>
    <row r="263" spans="1:2" x14ac:dyDescent="0.4">
      <c r="A263" s="1">
        <v>262</v>
      </c>
      <c r="B263" s="2" t="s">
        <v>265</v>
      </c>
    </row>
    <row r="264" spans="1:2" x14ac:dyDescent="0.4">
      <c r="B264" s="2"/>
    </row>
    <row r="265" spans="1:2" x14ac:dyDescent="0.4">
      <c r="B265" s="2"/>
    </row>
    <row r="266" spans="1:2" x14ac:dyDescent="0.4">
      <c r="B266" s="2"/>
    </row>
    <row r="267" spans="1:2" x14ac:dyDescent="0.4">
      <c r="B267" s="2"/>
    </row>
    <row r="268" spans="1:2" x14ac:dyDescent="0.4">
      <c r="B268" s="2"/>
    </row>
    <row r="269" spans="1:2" x14ac:dyDescent="0.4">
      <c r="B269" s="2"/>
    </row>
    <row r="270" spans="1:2" x14ac:dyDescent="0.4">
      <c r="B270" s="2"/>
    </row>
    <row r="271" spans="1:2" x14ac:dyDescent="0.4">
      <c r="B271" s="2"/>
    </row>
    <row r="272" spans="1:2" x14ac:dyDescent="0.4">
      <c r="B272" s="2"/>
    </row>
    <row r="273" spans="2:2" x14ac:dyDescent="0.4">
      <c r="B273" s="2"/>
    </row>
    <row r="274" spans="2:2" x14ac:dyDescent="0.4">
      <c r="B274" s="2"/>
    </row>
    <row r="275" spans="2:2" x14ac:dyDescent="0.4">
      <c r="B275" s="2"/>
    </row>
    <row r="276" spans="2:2" x14ac:dyDescent="0.4">
      <c r="B27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5062-E732-47D9-8DE9-73053AEDC195}">
  <sheetPr codeName="Hoja4"/>
  <dimension ref="A1:M47"/>
  <sheetViews>
    <sheetView showZeros="0" topLeftCell="C1" workbookViewId="0">
      <selection activeCell="F24" sqref="F24"/>
    </sheetView>
  </sheetViews>
  <sheetFormatPr baseColWidth="10" defaultRowHeight="21" x14ac:dyDescent="0.5"/>
  <cols>
    <col min="1" max="1" width="2.86328125" style="153" bestFit="1" customWidth="1"/>
    <col min="2" max="2" width="9.6640625" style="154" customWidth="1"/>
    <col min="3" max="3" width="7.59765625" style="154" bestFit="1" customWidth="1"/>
    <col min="4" max="4" width="5.73046875" style="154" bestFit="1" customWidth="1"/>
    <col min="5" max="5" width="7.6640625" style="154" bestFit="1" customWidth="1"/>
    <col min="6" max="6" width="7.33203125" style="154" bestFit="1" customWidth="1"/>
    <col min="7" max="7" width="5" style="154" bestFit="1" customWidth="1"/>
    <col min="8" max="8" width="4.46484375" style="154" bestFit="1" customWidth="1"/>
    <col min="9" max="9" width="17.19921875" style="155" bestFit="1" customWidth="1"/>
    <col min="10" max="10" width="45.19921875" style="137" bestFit="1" customWidth="1"/>
    <col min="11" max="11" width="6.19921875" style="137" bestFit="1" customWidth="1"/>
    <col min="12" max="12" width="5.796875" style="137" bestFit="1" customWidth="1"/>
    <col min="13" max="13" width="6.19921875" style="137" bestFit="1" customWidth="1"/>
    <col min="14" max="14" width="3.73046875" style="137" bestFit="1" customWidth="1"/>
    <col min="15" max="15" width="3" style="137" bestFit="1" customWidth="1"/>
    <col min="16" max="16" width="3.86328125" style="137" bestFit="1" customWidth="1"/>
    <col min="17" max="17" width="3.6640625" style="137" bestFit="1" customWidth="1"/>
    <col min="18" max="18" width="2.53125" style="137" bestFit="1" customWidth="1"/>
    <col min="19" max="19" width="9.86328125" style="137" bestFit="1" customWidth="1"/>
    <col min="20" max="21" width="10.6640625" style="137"/>
    <col min="22" max="22" width="9.53125" style="137" bestFit="1" customWidth="1"/>
    <col min="23" max="23" width="4.9296875" style="137" bestFit="1" customWidth="1"/>
    <col min="24" max="24" width="13.33203125" style="137" bestFit="1" customWidth="1"/>
    <col min="25" max="25" width="15.73046875" style="137" bestFit="1" customWidth="1"/>
    <col min="26" max="26" width="12.19921875" style="137" bestFit="1" customWidth="1"/>
    <col min="27" max="27" width="6.46484375" style="137" bestFit="1" customWidth="1"/>
    <col min="28" max="28" width="6.33203125" style="137" bestFit="1" customWidth="1"/>
    <col min="29" max="29" width="11.9296875" style="137" bestFit="1" customWidth="1"/>
    <col min="30" max="16384" width="10.6640625" style="137"/>
  </cols>
  <sheetData>
    <row r="1" spans="1:13" s="128" customFormat="1" ht="26" x14ac:dyDescent="0.4">
      <c r="A1" s="121" t="s">
        <v>312</v>
      </c>
      <c r="B1" s="122" t="str">
        <f>'N TRIBUTARIO'!M1</f>
        <v>CENTRO</v>
      </c>
      <c r="C1" s="122" t="str">
        <f>'N TRIBUTARIO'!N1</f>
        <v>COSTA</v>
      </c>
      <c r="D1" s="122" t="str">
        <f>'N TRIBUTARIO'!O1</f>
        <v>ESTE</v>
      </c>
      <c r="E1" s="122" t="str">
        <f>'N TRIBUTARIO'!P1</f>
        <v>NORTE</v>
      </c>
      <c r="F1" s="122" t="str">
        <f>'N TRIBUTARIO'!Q1</f>
        <v>OESTE</v>
      </c>
      <c r="G1" s="122" t="str">
        <f>'N TRIBUTARIO'!R1</f>
        <v>SUR</v>
      </c>
      <c r="H1" s="122">
        <f>SUM(H2:H45)</f>
        <v>262</v>
      </c>
      <c r="I1" s="123"/>
      <c r="J1" s="124" t="s">
        <v>313</v>
      </c>
      <c r="K1" s="125" t="s">
        <v>314</v>
      </c>
      <c r="L1" s="126" t="s">
        <v>315</v>
      </c>
      <c r="M1" s="127" t="s">
        <v>316</v>
      </c>
    </row>
    <row r="2" spans="1:13" ht="14" customHeight="1" x14ac:dyDescent="0.4">
      <c r="A2" s="129">
        <f>municipio!A2</f>
        <v>1</v>
      </c>
      <c r="B2" s="130">
        <f>'1 ahu'!N14</f>
        <v>4</v>
      </c>
      <c r="C2" s="130">
        <f>'1 ahu'!O14</f>
        <v>0</v>
      </c>
      <c r="D2" s="130">
        <f>'1 ahu'!P14</f>
        <v>0</v>
      </c>
      <c r="E2" s="131"/>
      <c r="F2" s="130">
        <f>'1 ahu'!R14</f>
        <v>0</v>
      </c>
      <c r="G2" s="131"/>
      <c r="H2" s="156">
        <f>SUM(B2:G4)</f>
        <v>12</v>
      </c>
      <c r="I2" s="132" t="str">
        <f>municipio!B2</f>
        <v>AHUACHAPÁN CENTRO</v>
      </c>
      <c r="J2" s="133" t="str">
        <f>'1 ahu'!K16</f>
        <v>AHUACHAPAN, APANECA, CONCEPCION DE ATACO, TACUBA</v>
      </c>
      <c r="K2" s="134">
        <v>501.01</v>
      </c>
      <c r="L2" s="135">
        <v>237889</v>
      </c>
      <c r="M2" s="136">
        <v>474.82</v>
      </c>
    </row>
    <row r="3" spans="1:13" ht="14" customHeight="1" x14ac:dyDescent="0.4">
      <c r="A3" s="129">
        <f>municipio!A3</f>
        <v>2</v>
      </c>
      <c r="B3" s="130"/>
      <c r="C3" s="130"/>
      <c r="D3" s="130"/>
      <c r="E3" s="130">
        <f>'1 ahu'!Q14</f>
        <v>4</v>
      </c>
      <c r="F3" s="130"/>
      <c r="G3" s="130"/>
      <c r="H3" s="156"/>
      <c r="I3" s="132" t="str">
        <f>municipio!B3</f>
        <v>AHUACHAPÁN NORTE</v>
      </c>
      <c r="J3" s="133" t="str">
        <f>'1 ahu'!K17</f>
        <v>ATIQUIZAYA, EL REFUGIO, SAN LORENZO, TURIN</v>
      </c>
      <c r="K3" s="134">
        <v>146.88999999999999</v>
      </c>
      <c r="L3" s="135">
        <v>61720</v>
      </c>
      <c r="M3" s="136">
        <v>420.18</v>
      </c>
    </row>
    <row r="4" spans="1:13" ht="14" customHeight="1" x14ac:dyDescent="0.4">
      <c r="A4" s="129">
        <f>municipio!A4</f>
        <v>3</v>
      </c>
      <c r="B4" s="130"/>
      <c r="C4" s="130"/>
      <c r="D4" s="130"/>
      <c r="E4" s="130"/>
      <c r="F4" s="130"/>
      <c r="G4" s="130">
        <f>'1 ahu'!S14</f>
        <v>4</v>
      </c>
      <c r="H4" s="156"/>
      <c r="I4" s="132" t="str">
        <f>municipio!B4</f>
        <v>AHUACHAPÁN SUR</v>
      </c>
      <c r="J4" s="133" t="str">
        <f>'1 ahu'!K18</f>
        <v>GUAYMANGO, JUJUTLA, SAN FRANCISCO MENENDEZ, SAN PEDRO PUXTLA</v>
      </c>
      <c r="K4" s="134">
        <v>591.42999999999995</v>
      </c>
      <c r="L4" s="135">
        <v>102457</v>
      </c>
      <c r="M4" s="136">
        <v>173.24</v>
      </c>
    </row>
    <row r="5" spans="1:13" ht="14" customHeight="1" x14ac:dyDescent="0.4">
      <c r="A5" s="129">
        <f>municipio!A5</f>
        <v>4</v>
      </c>
      <c r="B5" s="138">
        <f>'2 sa'!N15</f>
        <v>1</v>
      </c>
      <c r="C5" s="138">
        <f>'2 sa'!O15</f>
        <v>0</v>
      </c>
      <c r="D5" s="131"/>
      <c r="E5" s="131"/>
      <c r="F5" s="131"/>
      <c r="G5" s="138">
        <f>'2 sa'!S15</f>
        <v>0</v>
      </c>
      <c r="H5" s="156">
        <f>SUM(B5:G8)</f>
        <v>13</v>
      </c>
      <c r="I5" s="132" t="str">
        <f>municipio!B5</f>
        <v>SANTA ANA CENTRO</v>
      </c>
      <c r="J5" s="139" t="str">
        <f>'2 sa'!K18</f>
        <v>SANTA ANA</v>
      </c>
      <c r="K5" s="134">
        <v>400.05</v>
      </c>
      <c r="L5" s="135">
        <v>264091</v>
      </c>
      <c r="M5" s="136">
        <v>660.14</v>
      </c>
    </row>
    <row r="6" spans="1:13" ht="14" customHeight="1" x14ac:dyDescent="0.4">
      <c r="A6" s="129">
        <f>municipio!A6</f>
        <v>5</v>
      </c>
      <c r="B6" s="130"/>
      <c r="C6" s="138"/>
      <c r="D6" s="138">
        <f>'2 sa'!P15</f>
        <v>2</v>
      </c>
      <c r="E6" s="130"/>
      <c r="F6" s="130"/>
      <c r="G6" s="130"/>
      <c r="H6" s="156"/>
      <c r="I6" s="132" t="str">
        <f>municipio!B6</f>
        <v>SANTA ANA ESTE</v>
      </c>
      <c r="J6" s="139" t="str">
        <f>'2 sa'!K19</f>
        <v>COATEPEQUE, EL CONGO</v>
      </c>
      <c r="K6" s="134">
        <v>218.28</v>
      </c>
      <c r="L6" s="135">
        <v>64061</v>
      </c>
      <c r="M6" s="136">
        <v>293.48</v>
      </c>
    </row>
    <row r="7" spans="1:13" ht="14" customHeight="1" x14ac:dyDescent="0.4">
      <c r="A7" s="129">
        <f>municipio!A7</f>
        <v>6</v>
      </c>
      <c r="B7" s="130"/>
      <c r="C7" s="130"/>
      <c r="D7" s="130"/>
      <c r="E7" s="138">
        <f>'2 sa'!Q15</f>
        <v>4</v>
      </c>
      <c r="F7" s="138"/>
      <c r="G7" s="130"/>
      <c r="H7" s="156"/>
      <c r="I7" s="132" t="str">
        <f>municipio!B7</f>
        <v>SANTA ANA NORTE</v>
      </c>
      <c r="J7" s="139" t="str">
        <f>'2 sa'!K20</f>
        <v>MASAHUAT, METAPAN, SANTA ROSA GUACHIPILIN, TEXISTEPEQUE</v>
      </c>
      <c r="K7" s="134">
        <v>956.97</v>
      </c>
      <c r="L7" s="135">
        <v>91108</v>
      </c>
      <c r="M7" s="136">
        <v>95.2</v>
      </c>
    </row>
    <row r="8" spans="1:13" ht="26" x14ac:dyDescent="0.4">
      <c r="A8" s="129">
        <f>municipio!A8</f>
        <v>7</v>
      </c>
      <c r="B8" s="130"/>
      <c r="C8" s="130"/>
      <c r="D8" s="130"/>
      <c r="E8" s="130"/>
      <c r="F8" s="138">
        <f>'2 sa'!R15</f>
        <v>6</v>
      </c>
      <c r="G8" s="130"/>
      <c r="H8" s="156"/>
      <c r="I8" s="132" t="str">
        <f>municipio!B8</f>
        <v>SANTA ANA OESTE</v>
      </c>
      <c r="J8" s="139" t="str">
        <f>'2 sa'!K21</f>
        <v>CANDELARIA DE LA FRONTERA, CHALCHUAPA, EL PORVENIR, SAN ANTONIO PAJONAL, SAN SEBASTIAN SALITRILLO, SANTIAGO DE LA FRONTERA</v>
      </c>
      <c r="K8" s="134">
        <v>447.87</v>
      </c>
      <c r="L8" s="135">
        <v>172035</v>
      </c>
      <c r="M8" s="136">
        <v>384.12</v>
      </c>
    </row>
    <row r="9" spans="1:13" ht="26" x14ac:dyDescent="0.4">
      <c r="A9" s="129">
        <f>municipio!A9</f>
        <v>8</v>
      </c>
      <c r="B9" s="130">
        <f>'3 son '!N18</f>
        <v>5</v>
      </c>
      <c r="C9" s="130">
        <f>'3 son '!O18</f>
        <v>0</v>
      </c>
      <c r="D9" s="131"/>
      <c r="E9" s="131"/>
      <c r="F9" s="131"/>
      <c r="G9" s="130">
        <f>'3 son '!S18</f>
        <v>0</v>
      </c>
      <c r="H9" s="156">
        <f>SUM(B9:G12)</f>
        <v>16</v>
      </c>
      <c r="I9" s="132" t="str">
        <f>municipio!B9</f>
        <v>SONSONATE CENTRO</v>
      </c>
      <c r="J9" s="133" t="str">
        <f>'3 son '!K19</f>
        <v>NAHULINGO, SAN ANTONIO DEL MONTE, SANTO DOMINGO DE GUZMAN, SONSONATE, SONZACATE</v>
      </c>
      <c r="K9" s="134">
        <v>329.38</v>
      </c>
      <c r="L9" s="135">
        <v>140920</v>
      </c>
      <c r="M9" s="136">
        <v>427.83</v>
      </c>
    </row>
    <row r="10" spans="1:13" ht="26" x14ac:dyDescent="0.4">
      <c r="A10" s="129">
        <f>municipio!A10</f>
        <v>9</v>
      </c>
      <c r="B10" s="130"/>
      <c r="C10" s="130"/>
      <c r="D10" s="130">
        <f>'3 son '!P18</f>
        <v>6</v>
      </c>
      <c r="E10" s="130"/>
      <c r="F10" s="130"/>
      <c r="G10" s="130"/>
      <c r="H10" s="156"/>
      <c r="I10" s="132" t="str">
        <f>municipio!B10</f>
        <v>SONSONATE ESTE</v>
      </c>
      <c r="J10" s="133" t="str">
        <f>'3 son '!K20</f>
        <v>ARMENIA, CALUCO, CUISNAHUAT, SANTA ISABEL ISHUATAN, IZALCO, SAN JULIAN</v>
      </c>
      <c r="K10" s="134">
        <v>542.89</v>
      </c>
      <c r="L10" s="135">
        <v>160035</v>
      </c>
      <c r="M10" s="136">
        <v>294.77999999999997</v>
      </c>
    </row>
    <row r="11" spans="1:13" ht="14" customHeight="1" x14ac:dyDescent="0.4">
      <c r="A11" s="129">
        <f>municipio!A11</f>
        <v>10</v>
      </c>
      <c r="B11" s="130"/>
      <c r="C11" s="130"/>
      <c r="D11" s="130"/>
      <c r="E11" s="130">
        <f>'3 son '!Q18</f>
        <v>4</v>
      </c>
      <c r="F11" s="130"/>
      <c r="G11" s="130"/>
      <c r="H11" s="156"/>
      <c r="I11" s="132" t="str">
        <f>municipio!B11</f>
        <v>SONSONATE NORTE</v>
      </c>
      <c r="J11" s="133" t="str">
        <f>'3 son '!K21</f>
        <v>JUAYUA, NAHUIZALCO, SALCOATITAN, SANTA CATARINA MASAHUAT</v>
      </c>
      <c r="K11" s="134">
        <v>186.91</v>
      </c>
      <c r="L11" s="135">
        <v>89106</v>
      </c>
      <c r="M11" s="136">
        <v>476.73</v>
      </c>
    </row>
    <row r="12" spans="1:13" ht="14" customHeight="1" x14ac:dyDescent="0.4">
      <c r="A12" s="129">
        <f>municipio!A12</f>
        <v>11</v>
      </c>
      <c r="B12" s="130"/>
      <c r="C12" s="130"/>
      <c r="D12" s="130"/>
      <c r="E12" s="130"/>
      <c r="F12" s="130">
        <f>'3 son '!R18</f>
        <v>1</v>
      </c>
      <c r="G12" s="130"/>
      <c r="H12" s="156"/>
      <c r="I12" s="132" t="str">
        <f>municipio!B12</f>
        <v>SONSONATE OESTE</v>
      </c>
      <c r="J12" s="133" t="str">
        <f>'3 son '!K22</f>
        <v>ACAJUTLA</v>
      </c>
      <c r="K12" s="134">
        <v>166.59</v>
      </c>
      <c r="L12" s="135">
        <v>53259</v>
      </c>
      <c r="M12" s="136">
        <v>319.7</v>
      </c>
    </row>
    <row r="13" spans="1:13" ht="39" x14ac:dyDescent="0.4">
      <c r="A13" s="129">
        <f>municipio!A13</f>
        <v>12</v>
      </c>
      <c r="B13" s="130">
        <f>'4 cha'!N35</f>
        <v>10</v>
      </c>
      <c r="C13" s="130">
        <f>'4 cha'!O35</f>
        <v>0</v>
      </c>
      <c r="D13" s="130">
        <f>'4 cha'!P35</f>
        <v>0</v>
      </c>
      <c r="E13" s="131"/>
      <c r="F13" s="130">
        <f>'4 cha'!R35</f>
        <v>0</v>
      </c>
      <c r="G13" s="131"/>
      <c r="H13" s="156">
        <f>SUM(B13:G15)</f>
        <v>33</v>
      </c>
      <c r="I13" s="132" t="str">
        <f>municipio!B13</f>
        <v>CHALATENANGO CENTRO</v>
      </c>
      <c r="J13" s="133" t="str">
        <f>'4 cha'!J36</f>
        <v>AGUA CALIENTE, DULCE NOMBRE DE MARIA, EL PARAISO, LA REINA, NUEVA CONCEPCION, SAN FERNANDO, SAN FRANCISCO MORAZAN, SAN RAFAEL, SANTA RITA, TEJUTLA</v>
      </c>
      <c r="K13" s="140">
        <v>1018.45</v>
      </c>
      <c r="L13" s="135">
        <v>100658</v>
      </c>
      <c r="M13" s="136">
        <v>98.83</v>
      </c>
    </row>
    <row r="14" spans="1:13" ht="14" customHeight="1" x14ac:dyDescent="0.4">
      <c r="A14" s="129">
        <f>municipio!A14</f>
        <v>13</v>
      </c>
      <c r="B14" s="130"/>
      <c r="C14" s="130"/>
      <c r="D14" s="130"/>
      <c r="E14" s="130">
        <f>'4 cha'!Q35</f>
        <v>3</v>
      </c>
      <c r="F14" s="130"/>
      <c r="G14" s="130"/>
      <c r="H14" s="156"/>
      <c r="I14" s="132" t="str">
        <f>municipio!B14</f>
        <v>CHALATENANGO NORTE</v>
      </c>
      <c r="J14" s="133" t="str">
        <f>'4 cha'!J37</f>
        <v>CITALA, LA PALMA, SAN IGNACIO</v>
      </c>
      <c r="K14" s="134">
        <v>284.11</v>
      </c>
      <c r="L14" s="135">
        <v>54881</v>
      </c>
      <c r="M14" s="136">
        <v>193.17</v>
      </c>
    </row>
    <row r="15" spans="1:13" ht="78" x14ac:dyDescent="0.4">
      <c r="A15" s="129">
        <f>municipio!A15</f>
        <v>14</v>
      </c>
      <c r="B15" s="130"/>
      <c r="C15" s="130"/>
      <c r="D15" s="130"/>
      <c r="E15" s="130"/>
      <c r="F15" s="130"/>
      <c r="G15" s="130">
        <f>'4 cha'!S35</f>
        <v>20</v>
      </c>
      <c r="H15" s="156"/>
      <c r="I15" s="132" t="str">
        <f>municipio!B15</f>
        <v>CHALATENANGO SUR</v>
      </c>
      <c r="J15" s="133" t="str">
        <f>'4 cha'!J38</f>
        <v>ARCATAO, AZACUALPA, COMALAPA, CONCEPCION QUEZALTEPEQUE , CHALATENANGO, EL CARRIZAL, LA LAGUNA, LAS VUELTAS, NOMBRE DE JESUS, NUEVA TRINIDAD, OJOS DE AGUA, POTONICO, SAN ANTONIO DE LA CRUZ, SAN ANTONIO LOS RANCHOS, SAN FRANCISCO LEMPA, SAN ISIDRO LABRADOR, CANCASTE, SAN JOSE LAS FLORES, SAN LUIS DEL CARMEN, SAN MIGUEL DE MERCEDES</v>
      </c>
      <c r="K15" s="134">
        <v>713.99</v>
      </c>
      <c r="L15" s="135">
        <v>74809</v>
      </c>
      <c r="M15" s="136">
        <v>104.78</v>
      </c>
    </row>
    <row r="16" spans="1:13" ht="14" customHeight="1" x14ac:dyDescent="0.4">
      <c r="A16" s="129">
        <f>municipio!A16</f>
        <v>15</v>
      </c>
      <c r="B16" s="130">
        <f>'5 LL'!N24</f>
        <v>2</v>
      </c>
      <c r="C16" s="131"/>
      <c r="D16" s="131"/>
      <c r="E16" s="131"/>
      <c r="F16" s="131"/>
      <c r="G16" s="131"/>
      <c r="H16" s="156">
        <f>SUM(B16:G21)</f>
        <v>22</v>
      </c>
      <c r="I16" s="132" t="str">
        <f>municipio!B16</f>
        <v>LA LIBERTAD CENTRO</v>
      </c>
      <c r="J16" s="139" t="str">
        <f>'5 LL'!K25</f>
        <v>CIUDAD ARCE, SAN JUAN OPICO</v>
      </c>
      <c r="K16" s="134">
        <v>305.7</v>
      </c>
      <c r="L16" s="135">
        <v>141280</v>
      </c>
      <c r="M16" s="136">
        <v>462.15</v>
      </c>
    </row>
    <row r="17" spans="1:13" ht="14" customHeight="1" x14ac:dyDescent="0.4">
      <c r="A17" s="129">
        <f>municipio!A17</f>
        <v>16</v>
      </c>
      <c r="B17" s="130"/>
      <c r="C17" s="130">
        <f>'5 LL'!O24</f>
        <v>4</v>
      </c>
      <c r="D17" s="130"/>
      <c r="E17" s="130"/>
      <c r="F17" s="130"/>
      <c r="G17" s="130"/>
      <c r="H17" s="156"/>
      <c r="I17" s="132" t="str">
        <f>municipio!B17</f>
        <v>LA LIBERTAD COSTA</v>
      </c>
      <c r="J17" s="139" t="str">
        <f>'5 LL'!K26</f>
        <v>JICALAPA, LA LIBERTAD, TAMANIQUE, TEOTEPEQUE</v>
      </c>
      <c r="K17" s="134">
        <v>440.98</v>
      </c>
      <c r="L17" s="135">
        <v>79906</v>
      </c>
      <c r="M17" s="136">
        <v>181.2</v>
      </c>
    </row>
    <row r="18" spans="1:13" ht="26" x14ac:dyDescent="0.4">
      <c r="A18" s="129">
        <f>municipio!A18</f>
        <v>17</v>
      </c>
      <c r="B18" s="130"/>
      <c r="C18" s="130"/>
      <c r="D18" s="130">
        <f>'5 LL'!P24</f>
        <v>5</v>
      </c>
      <c r="E18" s="130"/>
      <c r="F18" s="130"/>
      <c r="G18" s="130"/>
      <c r="H18" s="156"/>
      <c r="I18" s="132" t="str">
        <f>municipio!B18</f>
        <v>LA LIBERTAD ESTE</v>
      </c>
      <c r="J18" s="139" t="str">
        <f>'5 LL'!K27</f>
        <v>ANTIGUO CUSCATLAN, HUIZUCAR, NUEVO CUSCATLAN, SAN JOSE VILLANUEVA, ZARAGOZA</v>
      </c>
      <c r="K18" s="134">
        <v>134.58000000000001</v>
      </c>
      <c r="L18" s="135">
        <v>132697</v>
      </c>
      <c r="M18" s="136">
        <v>986.01</v>
      </c>
    </row>
    <row r="19" spans="1:13" ht="14" customHeight="1" x14ac:dyDescent="0.4">
      <c r="A19" s="129">
        <f>municipio!A19</f>
        <v>18</v>
      </c>
      <c r="B19" s="130"/>
      <c r="C19" s="130"/>
      <c r="D19" s="130"/>
      <c r="E19" s="130">
        <f>'5 LL'!Q24</f>
        <v>4</v>
      </c>
      <c r="F19" s="130"/>
      <c r="G19" s="130"/>
      <c r="H19" s="156"/>
      <c r="I19" s="132" t="str">
        <f>municipio!B19</f>
        <v>LA LIBERTAD NORTE</v>
      </c>
      <c r="J19" s="139" t="str">
        <f>'5 LL'!K28</f>
        <v>CHILTIUPAN, QUEZALTEPEQUE, SAN MATIAS, SAN PABLO TACACHICO</v>
      </c>
      <c r="K19" s="134">
        <v>307.39</v>
      </c>
      <c r="L19" s="135">
        <v>94800</v>
      </c>
      <c r="M19" s="136">
        <v>308.39999999999998</v>
      </c>
    </row>
    <row r="20" spans="1:13" ht="14" customHeight="1" x14ac:dyDescent="0.4">
      <c r="A20" s="129">
        <f>municipio!A20</f>
        <v>19</v>
      </c>
      <c r="B20" s="130"/>
      <c r="C20" s="130"/>
      <c r="D20" s="130"/>
      <c r="E20" s="130"/>
      <c r="F20" s="130">
        <f>'5 LL'!R24</f>
        <v>5</v>
      </c>
      <c r="G20" s="130"/>
      <c r="H20" s="156"/>
      <c r="I20" s="132" t="str">
        <f>municipio!B20</f>
        <v>LA LIBERTAD OESTE</v>
      </c>
      <c r="J20" s="139" t="str">
        <f>'5 LL'!K29</f>
        <v>COLON, JAYAQUE, SACACOYO, TALNIQUE, TEPECOYO</v>
      </c>
      <c r="K20" s="134">
        <v>276.98</v>
      </c>
      <c r="L20" s="135">
        <v>148980</v>
      </c>
      <c r="M20" s="136">
        <v>537.87</v>
      </c>
    </row>
    <row r="21" spans="1:13" ht="14" customHeight="1" x14ac:dyDescent="0.4">
      <c r="A21" s="129">
        <f>municipio!A21</f>
        <v>20</v>
      </c>
      <c r="B21" s="130"/>
      <c r="C21" s="130"/>
      <c r="D21" s="130"/>
      <c r="E21" s="130"/>
      <c r="F21" s="130"/>
      <c r="G21" s="130">
        <f>'5 LL'!S24</f>
        <v>2</v>
      </c>
      <c r="H21" s="156"/>
      <c r="I21" s="132" t="str">
        <f>municipio!B21</f>
        <v>LA LIBERTAD SUR</v>
      </c>
      <c r="J21" s="139" t="str">
        <f>'5 LL'!K30</f>
        <v>COMASAGUA, SANTA TECLA</v>
      </c>
      <c r="K21" s="134">
        <v>187.25</v>
      </c>
      <c r="L21" s="135">
        <v>135908</v>
      </c>
      <c r="M21" s="136">
        <v>725.81</v>
      </c>
    </row>
    <row r="22" spans="1:13" ht="26" x14ac:dyDescent="0.4">
      <c r="A22" s="129">
        <f>municipio!A22</f>
        <v>21</v>
      </c>
      <c r="B22" s="130">
        <f>'6 ss'!N21</f>
        <v>5</v>
      </c>
      <c r="C22" s="130">
        <f>'6 ss'!O21</f>
        <v>0</v>
      </c>
      <c r="D22" s="131"/>
      <c r="E22" s="131"/>
      <c r="F22" s="131"/>
      <c r="G22" s="131"/>
      <c r="H22" s="156">
        <f>SUM(B22:G26)</f>
        <v>19</v>
      </c>
      <c r="I22" s="132" t="str">
        <f>municipio!B22</f>
        <v>SAN SALVADOR CENTRO</v>
      </c>
      <c r="J22" s="141" t="str">
        <f>'6 ss'!K22</f>
        <v>AYUTUXTEPEQUE, CUSCATANCINGO, MEJICANOS, SAN SALVADOR, CIUDAD DELGADO</v>
      </c>
      <c r="K22" s="134">
        <v>141.6</v>
      </c>
      <c r="L22" s="135">
        <v>702061</v>
      </c>
      <c r="M22" s="142">
        <v>4958.0600000000004</v>
      </c>
    </row>
    <row r="23" spans="1:13" ht="14" customHeight="1" x14ac:dyDescent="0.4">
      <c r="A23" s="129">
        <f>municipio!A23</f>
        <v>22</v>
      </c>
      <c r="B23" s="130"/>
      <c r="C23" s="130"/>
      <c r="D23" s="130">
        <f>'6 ss'!P21</f>
        <v>4</v>
      </c>
      <c r="E23" s="130"/>
      <c r="F23" s="130"/>
      <c r="G23" s="130"/>
      <c r="H23" s="156"/>
      <c r="I23" s="132" t="str">
        <f>municipio!B23</f>
        <v>SAN SALVADOR ESTE</v>
      </c>
      <c r="J23" s="141" t="str">
        <f>'6 ss'!K23</f>
        <v>ILOPANGO, SAN MARTIN, SOYAPANGO, TONACATEPEQUE</v>
      </c>
      <c r="K23" s="134">
        <v>187.74</v>
      </c>
      <c r="L23" s="135">
        <v>550739</v>
      </c>
      <c r="M23" s="142">
        <v>2933.52</v>
      </c>
    </row>
    <row r="24" spans="1:13" ht="14" customHeight="1" x14ac:dyDescent="0.4">
      <c r="A24" s="129">
        <f>municipio!A24</f>
        <v>23</v>
      </c>
      <c r="B24" s="130"/>
      <c r="C24" s="130"/>
      <c r="D24" s="130"/>
      <c r="E24" s="130">
        <f>'6 ss'!Q21</f>
        <v>3</v>
      </c>
      <c r="F24" s="130"/>
      <c r="G24" s="130"/>
      <c r="H24" s="156"/>
      <c r="I24" s="132" t="str">
        <f>municipio!B24</f>
        <v>SAN SALVADOR NORTE</v>
      </c>
      <c r="J24" s="141" t="str">
        <f>'6 ss'!K24</f>
        <v>AGUILARES, EL PAISNAL, GUAZAPA</v>
      </c>
      <c r="K24" s="134">
        <v>222.86</v>
      </c>
      <c r="L24" s="135">
        <v>58724</v>
      </c>
      <c r="M24" s="136">
        <v>263.5</v>
      </c>
    </row>
    <row r="25" spans="1:13" ht="14" customHeight="1" x14ac:dyDescent="0.4">
      <c r="A25" s="129">
        <f>municipio!A25</f>
        <v>24</v>
      </c>
      <c r="B25" s="130"/>
      <c r="C25" s="130"/>
      <c r="D25" s="130"/>
      <c r="E25" s="130"/>
      <c r="F25" s="130">
        <f>'6 ss'!R21</f>
        <v>2</v>
      </c>
      <c r="G25" s="130"/>
      <c r="H25" s="156"/>
      <c r="I25" s="132" t="str">
        <f>municipio!B25</f>
        <v>SAN SALVADOR OESTE</v>
      </c>
      <c r="J25" s="141" t="str">
        <f>'6 ss'!K25</f>
        <v>APOPA, NEJAPA</v>
      </c>
      <c r="K25" s="134">
        <v>135.19999999999999</v>
      </c>
      <c r="L25" s="135">
        <v>227986</v>
      </c>
      <c r="M25" s="142">
        <v>1686.29</v>
      </c>
    </row>
    <row r="26" spans="1:13" ht="26" x14ac:dyDescent="0.4">
      <c r="A26" s="129">
        <f>municipio!A26</f>
        <v>25</v>
      </c>
      <c r="B26" s="130"/>
      <c r="C26" s="130"/>
      <c r="D26" s="130"/>
      <c r="E26" s="130"/>
      <c r="F26" s="130"/>
      <c r="G26" s="130">
        <f>'6 ss'!S21</f>
        <v>5</v>
      </c>
      <c r="H26" s="156"/>
      <c r="I26" s="132" t="str">
        <f>municipio!B26</f>
        <v>SAN SALVADOR SUR</v>
      </c>
      <c r="J26" s="141" t="str">
        <f>'6 ss'!K26</f>
        <v>PANCHIMALCO, ROSARIO DE MORA, SAN MARCOS, SANTIAGO TEXACUANGOS, SANTO TOMAS</v>
      </c>
      <c r="K26" s="134">
        <v>198.75</v>
      </c>
      <c r="L26" s="135">
        <v>160618</v>
      </c>
      <c r="M26" s="136">
        <v>808.14</v>
      </c>
    </row>
    <row r="27" spans="1:13" ht="26" x14ac:dyDescent="0.4">
      <c r="A27" s="129">
        <f>municipio!A27</f>
        <v>26</v>
      </c>
      <c r="B27" s="130">
        <f>'7 cus'!N18</f>
        <v>0</v>
      </c>
      <c r="C27" s="130">
        <f>'7 cus'!O18</f>
        <v>0</v>
      </c>
      <c r="D27" s="130">
        <f>'7 cus'!P18</f>
        <v>0</v>
      </c>
      <c r="E27" s="130">
        <f>'7 cus'!Q18</f>
        <v>6</v>
      </c>
      <c r="F27" s="130">
        <f>'7 cus'!R18</f>
        <v>0</v>
      </c>
      <c r="G27" s="131"/>
      <c r="H27" s="156">
        <f>SUM(B27:G28)</f>
        <v>16</v>
      </c>
      <c r="I27" s="132" t="str">
        <f>municipio!B27</f>
        <v>CUSCATLÁN NORTE</v>
      </c>
      <c r="J27" s="133" t="str">
        <f>'7 cus'!K19</f>
        <v>ORATORIO DE CONCEPCION, SAN BARTOLOME PERULAPIA, SAN JOSE GUAYABAL, SAN PEDRO PERULAPAN, SANTA CRUZ ANALQUITO, SUCHITOTO</v>
      </c>
      <c r="K27" s="134">
        <v>499.17</v>
      </c>
      <c r="L27" s="135">
        <v>90452</v>
      </c>
      <c r="M27" s="136">
        <v>181.2</v>
      </c>
    </row>
    <row r="28" spans="1:13" ht="39" x14ac:dyDescent="0.4">
      <c r="A28" s="129">
        <f>municipio!A28</f>
        <v>27</v>
      </c>
      <c r="B28" s="130"/>
      <c r="C28" s="130"/>
      <c r="D28" s="130"/>
      <c r="E28" s="130"/>
      <c r="F28" s="130"/>
      <c r="G28" s="130">
        <f>'7 cus'!S18</f>
        <v>10</v>
      </c>
      <c r="H28" s="156"/>
      <c r="I28" s="132" t="str">
        <f>municipio!B28</f>
        <v>CUSCATLÁN SUR</v>
      </c>
      <c r="J28" s="133" t="str">
        <f>'7 cus'!K20</f>
        <v>CANDELARIA, COJUTEPEQUE, EL CARMEN, EL ROSARIO CUSCATLAN, MONTE SAN JUAN, SAN CRISTOBAL, SAN RAFAEL CEDROS, SAN RAMON, SANTA CRUZ MICHAPA, TENANCINGO</v>
      </c>
      <c r="K28" s="134">
        <v>257.02</v>
      </c>
      <c r="L28" s="135">
        <v>145713</v>
      </c>
      <c r="M28" s="136">
        <v>566.92999999999995</v>
      </c>
    </row>
    <row r="29" spans="1:13" ht="52" x14ac:dyDescent="0.4">
      <c r="A29" s="129">
        <f>municipio!A29</f>
        <v>28</v>
      </c>
      <c r="B29" s="130">
        <f>'8 lp'!N24</f>
        <v>12</v>
      </c>
      <c r="C29" s="130">
        <f>'8 lp'!O24</f>
        <v>0</v>
      </c>
      <c r="D29" s="131"/>
      <c r="E29" s="130">
        <f>'8 lp'!Q24</f>
        <v>0</v>
      </c>
      <c r="F29" s="131"/>
      <c r="G29" s="130">
        <f>'8 lp'!S24</f>
        <v>0</v>
      </c>
      <c r="H29" s="156">
        <f>SUM(B29:G31)</f>
        <v>22</v>
      </c>
      <c r="I29" s="132" t="str">
        <f>municipio!B29</f>
        <v>LA PAZ   CENTRO</v>
      </c>
      <c r="J29" s="133" t="str">
        <f>'8 lp'!K25</f>
        <v>EL ROSARIO, JERUSALEN, MERCEDES LA CEIBA, PARAISO DE OSORIO, SAN ANTONIO MASAHUAT, SAN EMIGDIO, SAN JUAN TEPEZONTES, SAN MIGUEL TEPEZONTES, SAN PEDRO NONUALCO, SANTA MARIA OSTUMA, SANTIAGO NONUALCO, SAN LUIS LA HERRADURA</v>
      </c>
      <c r="K29" s="134">
        <v>450.42</v>
      </c>
      <c r="L29" s="135">
        <v>115564</v>
      </c>
      <c r="M29" s="136">
        <v>256.57</v>
      </c>
    </row>
    <row r="30" spans="1:13" ht="14" customHeight="1" x14ac:dyDescent="0.4">
      <c r="A30" s="129">
        <f>municipio!A30</f>
        <v>29</v>
      </c>
      <c r="B30" s="130"/>
      <c r="C30" s="130"/>
      <c r="D30" s="130">
        <f>'8 lp'!P24</f>
        <v>3</v>
      </c>
      <c r="E30" s="130"/>
      <c r="F30" s="130"/>
      <c r="G30" s="130"/>
      <c r="H30" s="156"/>
      <c r="I30" s="132" t="str">
        <f>municipio!B30</f>
        <v>LA PAZ ESTE</v>
      </c>
      <c r="J30" s="133" t="str">
        <f>'8 lp'!K26</f>
        <v>SAN JUAN NONUALCO, SAN RAFAEL OBRAJUELO, ZACATECOLUCA</v>
      </c>
      <c r="K30" s="134">
        <v>391.96</v>
      </c>
      <c r="L30" s="135">
        <v>96565</v>
      </c>
      <c r="M30" s="136">
        <v>246.36</v>
      </c>
    </row>
    <row r="31" spans="1:13" ht="26" x14ac:dyDescent="0.4">
      <c r="A31" s="129">
        <f>municipio!A31</f>
        <v>30</v>
      </c>
      <c r="B31" s="130"/>
      <c r="C31" s="130"/>
      <c r="D31" s="130"/>
      <c r="E31" s="130"/>
      <c r="F31" s="130">
        <f>'8 lp'!R24</f>
        <v>7</v>
      </c>
      <c r="G31" s="130"/>
      <c r="H31" s="156"/>
      <c r="I31" s="132" t="str">
        <f>municipio!B31</f>
        <v>LA PAZ OESTE</v>
      </c>
      <c r="J31" s="133" t="str">
        <f>'8 lp'!K27</f>
        <v>CUYULTITAN, OLOCUILTA, SAN FRANCISCO CHINAMECA, SAN JUAN TALPA, SAN LUIS TALPA, SAN PEDRO MASAHUAT, TAPALHUACA</v>
      </c>
      <c r="K31" s="134">
        <v>381.23</v>
      </c>
      <c r="L31" s="135">
        <v>101279</v>
      </c>
      <c r="M31" s="136">
        <v>265.66000000000003</v>
      </c>
    </row>
    <row r="32" spans="1:13" ht="14" customHeight="1" x14ac:dyDescent="0.4">
      <c r="A32" s="129">
        <f>municipio!A32</f>
        <v>31</v>
      </c>
      <c r="B32" s="130">
        <f>'9 cab'!N11</f>
        <v>0</v>
      </c>
      <c r="C32" s="130">
        <f>'9 cab'!O11</f>
        <v>0</v>
      </c>
      <c r="D32" s="130">
        <f>'9 cab'!P11</f>
        <v>5</v>
      </c>
      <c r="E32" s="130">
        <f>'9 cab'!Q11</f>
        <v>0</v>
      </c>
      <c r="F32" s="131"/>
      <c r="G32" s="130">
        <f>'9 cab'!S11</f>
        <v>0</v>
      </c>
      <c r="H32" s="156">
        <f>SUM(B32:G33)</f>
        <v>9</v>
      </c>
      <c r="I32" s="132" t="str">
        <f>municipio!B32</f>
        <v>CABAÑAS ESTE</v>
      </c>
      <c r="J32" s="133" t="str">
        <f>'9 cab'!K13</f>
        <v>GUACOTECTI, SAN ISIDRO, SENSUNTEPEQUE, VICTORIA, DOLORES</v>
      </c>
      <c r="K32" s="134">
        <v>701.67</v>
      </c>
      <c r="L32" s="135">
        <v>66727</v>
      </c>
      <c r="M32" s="136">
        <v>95.1</v>
      </c>
    </row>
    <row r="33" spans="1:13" ht="14" customHeight="1" x14ac:dyDescent="0.4">
      <c r="A33" s="129">
        <f>municipio!A33</f>
        <v>32</v>
      </c>
      <c r="B33" s="130"/>
      <c r="C33" s="130"/>
      <c r="D33" s="130"/>
      <c r="E33" s="130"/>
      <c r="F33" s="130">
        <f>'9 cab'!R11</f>
        <v>4</v>
      </c>
      <c r="G33" s="130"/>
      <c r="H33" s="156"/>
      <c r="I33" s="132" t="str">
        <f>municipio!B33</f>
        <v>CABAÑAS OESTE</v>
      </c>
      <c r="J33" s="133" t="str">
        <f>'9 cab'!K14</f>
        <v>CINQUERA, ILOBASCO, JUTIAPA, TEJUTEPEQUE</v>
      </c>
      <c r="K33" s="134">
        <v>401.84</v>
      </c>
      <c r="L33" s="135">
        <v>86875</v>
      </c>
      <c r="M33" s="136">
        <v>216.19</v>
      </c>
    </row>
    <row r="34" spans="1:13" ht="26" x14ac:dyDescent="0.4">
      <c r="A34" s="129">
        <f>municipio!A34</f>
        <v>33</v>
      </c>
      <c r="B34" s="130">
        <f>'10 sv'!N15</f>
        <v>0</v>
      </c>
      <c r="C34" s="130">
        <f>'10 sv'!O15</f>
        <v>0</v>
      </c>
      <c r="D34" s="130">
        <f>'10 sv'!P15</f>
        <v>0</v>
      </c>
      <c r="E34" s="130">
        <f>'10 sv'!Q15</f>
        <v>7</v>
      </c>
      <c r="F34" s="130">
        <f>'10 sv'!R15</f>
        <v>0</v>
      </c>
      <c r="G34" s="131"/>
      <c r="H34" s="156">
        <f>SUM(B34:G35)</f>
        <v>13</v>
      </c>
      <c r="I34" s="132" t="str">
        <f>municipio!B34</f>
        <v>SAN VICENTE NORTE</v>
      </c>
      <c r="J34" s="133" t="str">
        <f>'10 sv'!K16</f>
        <v>APASTEPEQUE, SANTA CLARA, SANTO DOMINGO, SAN ESTEBAN CATARINA, SAN ILDEFONSO, SAN LORENZO, SAN SEBASTIAN</v>
      </c>
      <c r="K34" s="134">
        <v>556.48</v>
      </c>
      <c r="L34" s="135">
        <v>70209</v>
      </c>
      <c r="M34" s="136">
        <v>126.17</v>
      </c>
    </row>
    <row r="35" spans="1:13" ht="26" x14ac:dyDescent="0.4">
      <c r="A35" s="129">
        <f>municipio!A35</f>
        <v>34</v>
      </c>
      <c r="B35" s="130"/>
      <c r="C35" s="130"/>
      <c r="D35" s="130"/>
      <c r="E35" s="130"/>
      <c r="F35" s="130"/>
      <c r="G35" s="130">
        <f>'10 sv'!S15</f>
        <v>6</v>
      </c>
      <c r="H35" s="156"/>
      <c r="I35" s="132" t="str">
        <f>municipio!B35</f>
        <v>SAN VICENTE SUR</v>
      </c>
      <c r="J35" s="133" t="str">
        <f>'10 sv'!K17</f>
        <v>GUADALUPE, SAN CAYETANO ISTEPEQUE, SAN VICENTE, TECOLUCA, TEPETITAN, VERAPAZ</v>
      </c>
      <c r="K35" s="134">
        <v>627.54</v>
      </c>
      <c r="L35" s="135">
        <v>99893</v>
      </c>
      <c r="M35" s="136">
        <v>159.18</v>
      </c>
    </row>
    <row r="36" spans="1:13" ht="26" x14ac:dyDescent="0.4">
      <c r="A36" s="129">
        <f>municipio!A36</f>
        <v>35</v>
      </c>
      <c r="B36" s="130">
        <f>'11 usu'!N25</f>
        <v>0</v>
      </c>
      <c r="C36" s="130">
        <f>'11 usu'!O25</f>
        <v>0</v>
      </c>
      <c r="D36" s="130">
        <f>'11 usu'!P25</f>
        <v>10</v>
      </c>
      <c r="E36" s="131"/>
      <c r="F36" s="131"/>
      <c r="G36" s="130">
        <f>'11 usu'!S25</f>
        <v>0</v>
      </c>
      <c r="H36" s="156">
        <f>SUM(B36:G38)</f>
        <v>23</v>
      </c>
      <c r="I36" s="132" t="str">
        <f>municipio!B36</f>
        <v>USULUTÁN ESTE</v>
      </c>
      <c r="J36" s="133" t="str">
        <f>'11 usu'!K26</f>
        <v>CALIFORNIA, CONCEPCION BATRES, EREGUAYQUIN, JUCUARAN, OZATLAN, SAN DIONISIO, SANTA ELENA, SANTA MARIA, TECAPAN, USULUTAN</v>
      </c>
      <c r="K36" s="134">
        <v>831.32</v>
      </c>
      <c r="L36" s="135">
        <v>160590</v>
      </c>
      <c r="M36" s="136">
        <v>193.17</v>
      </c>
    </row>
    <row r="37" spans="1:13" ht="26" x14ac:dyDescent="0.4">
      <c r="A37" s="129">
        <f>municipio!A37</f>
        <v>36</v>
      </c>
      <c r="B37" s="130"/>
      <c r="C37" s="130"/>
      <c r="D37" s="130"/>
      <c r="E37" s="130">
        <f>'11 usu'!Q25</f>
        <v>9</v>
      </c>
      <c r="F37" s="130"/>
      <c r="G37" s="130"/>
      <c r="H37" s="156"/>
      <c r="I37" s="132" t="str">
        <f>municipio!B37</f>
        <v>USULUTÁN NORTE</v>
      </c>
      <c r="J37" s="133" t="str">
        <f>'11 usu'!K27</f>
        <v>ALEGRIA, BERLIN, EL TRIUNFO, ESTANZUELAS, JUCUAPA, MERCEDES UMAÑA, NUEVA GRANADA, SAN BUENAVENTURA, SANTIAGO DE MARIA</v>
      </c>
      <c r="K37" s="134">
        <v>551.69000000000005</v>
      </c>
      <c r="L37" s="135">
        <v>109367</v>
      </c>
      <c r="M37" s="136">
        <v>198.24</v>
      </c>
    </row>
    <row r="38" spans="1:13" ht="14" customHeight="1" x14ac:dyDescent="0.4">
      <c r="A38" s="129">
        <f>municipio!A38</f>
        <v>37</v>
      </c>
      <c r="B38" s="130"/>
      <c r="C38" s="130"/>
      <c r="D38" s="130"/>
      <c r="E38" s="130"/>
      <c r="F38" s="130">
        <f>'11 usu'!R25</f>
        <v>4</v>
      </c>
      <c r="G38" s="130"/>
      <c r="H38" s="156"/>
      <c r="I38" s="132" t="str">
        <f>municipio!B38</f>
        <v>USULUTÁN OESTE</v>
      </c>
      <c r="J38" s="133" t="str">
        <f>'11 usu'!K28</f>
        <v>JIQUILISCO, PUERTO EL TRIUNFO, SAN AGUSTIN, SAN FRANCISCO JAVIER</v>
      </c>
      <c r="K38" s="134">
        <v>747.43</v>
      </c>
      <c r="L38" s="135">
        <v>79311</v>
      </c>
      <c r="M38" s="136">
        <v>106.11</v>
      </c>
    </row>
    <row r="39" spans="1:13" ht="14" customHeight="1" x14ac:dyDescent="0.4">
      <c r="A39" s="129">
        <f>municipio!A39</f>
        <v>38</v>
      </c>
      <c r="B39" s="130">
        <f>'12 sm'!N22</f>
        <v>6</v>
      </c>
      <c r="C39" s="130">
        <f>'12 sm'!O22</f>
        <v>0</v>
      </c>
      <c r="D39" s="130">
        <f>'12 sm'!P22</f>
        <v>0</v>
      </c>
      <c r="E39" s="131"/>
      <c r="F39" s="131"/>
      <c r="G39" s="130">
        <f>'12 sm'!S22</f>
        <v>0</v>
      </c>
      <c r="H39" s="156">
        <f>SUM(B39:G41)</f>
        <v>20</v>
      </c>
      <c r="I39" s="132" t="str">
        <f>municipio!B39</f>
        <v>SAN MIGUEL CENTRO</v>
      </c>
      <c r="J39" s="133" t="str">
        <f>'12 sm'!K23</f>
        <v>COMACARAN, CHIRILAGUA, MONCAGUA, QUELEPA, SAN MIGUEL, ULUAZAPA</v>
      </c>
      <c r="K39" s="134">
        <v>997.08</v>
      </c>
      <c r="L39" s="135">
        <v>398361</v>
      </c>
      <c r="M39" s="136">
        <v>399.53</v>
      </c>
    </row>
    <row r="40" spans="1:13" ht="26" x14ac:dyDescent="0.4">
      <c r="A40" s="129">
        <f>municipio!A40</f>
        <v>39</v>
      </c>
      <c r="B40" s="130"/>
      <c r="C40" s="130"/>
      <c r="D40" s="130"/>
      <c r="E40" s="130">
        <f>'12 sm'!Q22</f>
        <v>8</v>
      </c>
      <c r="F40" s="130"/>
      <c r="G40" s="130"/>
      <c r="H40" s="156"/>
      <c r="I40" s="132" t="str">
        <f>municipio!B40</f>
        <v>SAN MIGUEL NORTE</v>
      </c>
      <c r="J40" s="133" t="str">
        <f>'12 sm'!K24</f>
        <v>CAROLINA, CIUDAD BARRIOS, CHAPELTIQUE, NUEVO EDEN DE SAN JUAN, SAN ANTONIO DEL MOSCO, SAN GERARDO, SAN LUIS DE LA REINA, SESORI</v>
      </c>
      <c r="K40" s="134">
        <v>758.96</v>
      </c>
      <c r="L40" s="135">
        <v>79611</v>
      </c>
      <c r="M40" s="136">
        <v>104.89</v>
      </c>
    </row>
    <row r="41" spans="1:13" ht="26" x14ac:dyDescent="0.4">
      <c r="A41" s="129">
        <f>municipio!A41</f>
        <v>40</v>
      </c>
      <c r="B41" s="130"/>
      <c r="C41" s="130"/>
      <c r="D41" s="130"/>
      <c r="E41" s="130"/>
      <c r="F41" s="130">
        <f>'12 sm'!R22</f>
        <v>6</v>
      </c>
      <c r="G41" s="130"/>
      <c r="H41" s="156"/>
      <c r="I41" s="132" t="str">
        <f>municipio!B41</f>
        <v>SAN MIGUEL OESTE</v>
      </c>
      <c r="J41" s="133" t="str">
        <f>'12 sm'!K25</f>
        <v>CHINAMECA, EL TRANSITO, LOLOTIQUE, NUEVA GUADALUPE, SAN JORGE, SAN RAFAEL ORIENTE</v>
      </c>
      <c r="K41" s="134">
        <v>321.06</v>
      </c>
      <c r="L41" s="135">
        <v>86900</v>
      </c>
      <c r="M41" s="136">
        <v>270.67</v>
      </c>
    </row>
    <row r="42" spans="1:13" ht="39" x14ac:dyDescent="0.4">
      <c r="A42" s="129">
        <f>municipio!A42</f>
        <v>41</v>
      </c>
      <c r="B42" s="130">
        <f>'13 mor'!N28</f>
        <v>0</v>
      </c>
      <c r="C42" s="130">
        <f>'13 mor'!O28</f>
        <v>0</v>
      </c>
      <c r="D42" s="130">
        <f>'13 mor'!P28</f>
        <v>0</v>
      </c>
      <c r="E42" s="130">
        <f>'13 mor'!Q28</f>
        <v>11</v>
      </c>
      <c r="F42" s="130">
        <f>'13 mor'!R28</f>
        <v>0</v>
      </c>
      <c r="G42" s="131"/>
      <c r="H42" s="156">
        <f>SUM(B42:G43)</f>
        <v>26</v>
      </c>
      <c r="I42" s="132" t="str">
        <f>municipio!B42</f>
        <v>MORAZÁN NORTE</v>
      </c>
      <c r="J42" s="133" t="str">
        <f>'13 mor'!K29</f>
        <v>ARAMBALA, CACAOPERA, CORINTO, EL ROSARIO, MORAZAN, JOATECA, JOCOAITIQUE, MEANGUERA, PERQUIN, SAN FERNANDO MORAZAN, SAN ISIDRO MORAZAN, TOROLATOROLA</v>
      </c>
      <c r="K42" s="134">
        <v>735.15</v>
      </c>
      <c r="L42" s="135">
        <v>55012</v>
      </c>
      <c r="M42" s="136">
        <v>74.83</v>
      </c>
    </row>
    <row r="43" spans="1:13" ht="52" x14ac:dyDescent="0.4">
      <c r="A43" s="129">
        <f>municipio!A43</f>
        <v>42</v>
      </c>
      <c r="B43" s="130"/>
      <c r="C43" s="130"/>
      <c r="D43" s="130"/>
      <c r="E43" s="130"/>
      <c r="F43" s="130"/>
      <c r="G43" s="130">
        <f>'13 mor'!S28</f>
        <v>15</v>
      </c>
      <c r="H43" s="156"/>
      <c r="I43" s="132" t="str">
        <f>municipio!B43</f>
        <v>MORAZÁN SUR</v>
      </c>
      <c r="J43" s="133" t="str">
        <f>'13 mor'!K30</f>
        <v>CHILANGA, DELICIAS DE CONCEPCION , EL DIVISADERO, GUALOCOCTI, GUATAJIAGUA, JOCORO, LOLOTIQUILLO, OSICALA, SAN CARLOS, SAN FRANCISCO GOTERA, SAN SIMON, SENSEMBRA, SOCIEDAD, YAMABAL, YOLOAIQUIN</v>
      </c>
      <c r="K43" s="134">
        <v>712.3</v>
      </c>
      <c r="L43" s="135">
        <v>123236</v>
      </c>
      <c r="M43" s="136">
        <v>173.01</v>
      </c>
    </row>
    <row r="44" spans="1:13" ht="26" x14ac:dyDescent="0.4">
      <c r="A44" s="129">
        <f>municipio!A44</f>
        <v>43</v>
      </c>
      <c r="B44" s="130">
        <f>'14 LU'!N20</f>
        <v>0</v>
      </c>
      <c r="C44" s="130">
        <f>'14 LU'!O20</f>
        <v>0</v>
      </c>
      <c r="D44" s="130">
        <f>'14 LU'!P20</f>
        <v>0</v>
      </c>
      <c r="E44" s="130">
        <f>'14 LU'!Q20</f>
        <v>10</v>
      </c>
      <c r="F44" s="130">
        <f>'14 LU'!R20</f>
        <v>0</v>
      </c>
      <c r="G44" s="131"/>
      <c r="H44" s="156">
        <f>SUM(B44:G45)</f>
        <v>18</v>
      </c>
      <c r="I44" s="132" t="str">
        <f>municipio!B44</f>
        <v>LA UNIÓN NORTE</v>
      </c>
      <c r="J44" s="133" t="str">
        <f>'14 LU'!K21</f>
        <v>ANAMOROS, BOLIVAR, CONCEPCION DE ORIENTE, EL SAUCE, LISLIQUE, NUEVA ESPARTA, PASAQUINA, POLOROS, SAN JOSE, SANTA ROSA DE LIMA</v>
      </c>
      <c r="K44" s="140">
        <v>1155.6500000000001</v>
      </c>
      <c r="L44" s="135">
        <v>115296</v>
      </c>
      <c r="M44" s="136">
        <v>99.77</v>
      </c>
    </row>
    <row r="45" spans="1:13" ht="26.5" thickBot="1" x14ac:dyDescent="0.45">
      <c r="A45" s="129">
        <f>municipio!A45</f>
        <v>44</v>
      </c>
      <c r="B45" s="143"/>
      <c r="C45" s="143"/>
      <c r="D45" s="143"/>
      <c r="E45" s="143"/>
      <c r="F45" s="143"/>
      <c r="G45" s="143">
        <f>'14 LU'!S20</f>
        <v>8</v>
      </c>
      <c r="H45" s="157"/>
      <c r="I45" s="132" t="str">
        <f>municipio!B45</f>
        <v>LA UNIÓN SUR</v>
      </c>
      <c r="J45" s="144" t="str">
        <f>'14 LU'!K22</f>
        <v>CONCHAGUA, EL CARMEN, INTIPUCA, LA UNION, MEANGUERA DEL GOLFO, SAN ALEJO, YAYANTIQUE, YUCUAIQUIN</v>
      </c>
      <c r="K45" s="145">
        <v>918.74</v>
      </c>
      <c r="L45" s="146">
        <v>124964</v>
      </c>
      <c r="M45" s="147">
        <v>136.02000000000001</v>
      </c>
    </row>
    <row r="46" spans="1:13" s="148" customFormat="1" ht="21.5" thickBot="1" x14ac:dyDescent="0.4">
      <c r="B46" s="149">
        <f t="shared" ref="B46:G46" si="0">SUM(B1:B45)</f>
        <v>45</v>
      </c>
      <c r="C46" s="150">
        <f t="shared" si="0"/>
        <v>4</v>
      </c>
      <c r="D46" s="150">
        <f t="shared" si="0"/>
        <v>35</v>
      </c>
      <c r="E46" s="150">
        <f t="shared" si="0"/>
        <v>73</v>
      </c>
      <c r="F46" s="150">
        <f t="shared" si="0"/>
        <v>35</v>
      </c>
      <c r="G46" s="151">
        <f t="shared" si="0"/>
        <v>70</v>
      </c>
      <c r="H46" s="152"/>
    </row>
    <row r="47" spans="1:13" ht="21.5" thickBot="1" x14ac:dyDescent="0.55000000000000004">
      <c r="B47" s="158">
        <f>SUM(B46:G46)</f>
        <v>262</v>
      </c>
      <c r="C47" s="159"/>
      <c r="D47" s="159"/>
      <c r="E47" s="159"/>
      <c r="F47" s="159"/>
      <c r="G47" s="160"/>
    </row>
  </sheetData>
  <mergeCells count="15">
    <mergeCell ref="H22:H26"/>
    <mergeCell ref="H2:H4"/>
    <mergeCell ref="H5:H8"/>
    <mergeCell ref="H9:H12"/>
    <mergeCell ref="H13:H15"/>
    <mergeCell ref="H16:H21"/>
    <mergeCell ref="H42:H43"/>
    <mergeCell ref="H44:H45"/>
    <mergeCell ref="B47:G47"/>
    <mergeCell ref="H27:H28"/>
    <mergeCell ref="H29:H31"/>
    <mergeCell ref="H32:H33"/>
    <mergeCell ref="H34:H35"/>
    <mergeCell ref="H36:H38"/>
    <mergeCell ref="H39:H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7E71-9AC7-4F11-864A-09DDB0BD9DCE}">
  <sheetPr codeName="Hoja5"/>
  <dimension ref="A1:AC263"/>
  <sheetViews>
    <sheetView showZeros="0" workbookViewId="0">
      <selection activeCell="G266" sqref="G266"/>
    </sheetView>
  </sheetViews>
  <sheetFormatPr baseColWidth="10" defaultRowHeight="16" x14ac:dyDescent="0.4"/>
  <cols>
    <col min="1" max="1" width="6.33203125" style="1" bestFit="1" customWidth="1"/>
    <col min="2" max="2" width="2.53125" style="1" bestFit="1" customWidth="1"/>
    <col min="3" max="4" width="2.6640625" style="1" bestFit="1" customWidth="1"/>
    <col min="5" max="5" width="3.59765625" style="1" bestFit="1" customWidth="1"/>
    <col min="6" max="6" width="4.46484375" style="1" bestFit="1" customWidth="1"/>
    <col min="7" max="7" width="4.86328125" style="1" bestFit="1" customWidth="1"/>
    <col min="8" max="8" width="7.3984375" style="1" bestFit="1" customWidth="1"/>
    <col min="9" max="9" width="8.73046875" style="1" bestFit="1" customWidth="1"/>
    <col min="10" max="10" width="15.265625" style="1" bestFit="1" customWidth="1"/>
    <col min="11" max="11" width="4.1328125" style="1" bestFit="1" customWidth="1"/>
    <col min="12" max="12" width="13.33203125" style="1" bestFit="1" customWidth="1"/>
    <col min="13" max="13" width="4.53125" style="66" bestFit="1" customWidth="1"/>
    <col min="14" max="14" width="3.796875" style="66" bestFit="1" customWidth="1"/>
    <col min="15" max="15" width="3.06640625" style="66" bestFit="1" customWidth="1"/>
    <col min="16" max="16" width="3.9296875" style="66" bestFit="1" customWidth="1"/>
    <col min="17" max="17" width="3.73046875" style="66" bestFit="1" customWidth="1"/>
    <col min="18" max="18" width="2.59765625" style="66" bestFit="1" customWidth="1"/>
    <col min="19" max="19" width="3.265625" style="1" customWidth="1"/>
    <col min="20" max="21" width="0.86328125" style="1" bestFit="1" customWidth="1"/>
    <col min="22" max="22" width="19.06640625" style="1" bestFit="1" customWidth="1"/>
    <col min="23" max="23" width="9.33203125" style="1" bestFit="1" customWidth="1"/>
    <col min="24" max="24" width="16.86328125" style="1" bestFit="1" customWidth="1"/>
    <col min="25" max="25" width="27.86328125" style="1" bestFit="1" customWidth="1"/>
    <col min="26" max="26" width="21.46484375" style="1" bestFit="1" customWidth="1"/>
    <col min="27" max="27" width="6.86328125" style="1" bestFit="1" customWidth="1"/>
    <col min="28" max="28" width="6.3984375" style="1" bestFit="1" customWidth="1"/>
    <col min="29" max="29" width="12" style="1" bestFit="1" customWidth="1"/>
    <col min="30" max="16384" width="10.6640625" style="1"/>
  </cols>
  <sheetData>
    <row r="1" spans="1:29" ht="48" x14ac:dyDescent="0.4">
      <c r="A1" s="3" t="s">
        <v>317</v>
      </c>
      <c r="B1" s="4" t="s">
        <v>318</v>
      </c>
      <c r="C1" s="4" t="s">
        <v>319</v>
      </c>
      <c r="D1" s="4" t="s">
        <v>320</v>
      </c>
      <c r="E1" s="4" t="s">
        <v>321</v>
      </c>
      <c r="F1" s="5" t="s">
        <v>322</v>
      </c>
      <c r="G1" s="6" t="s">
        <v>323</v>
      </c>
      <c r="H1" s="6" t="s">
        <v>324</v>
      </c>
      <c r="I1" s="7" t="s">
        <v>325</v>
      </c>
      <c r="J1" s="3" t="s">
        <v>326</v>
      </c>
      <c r="K1" s="3" t="s">
        <v>327</v>
      </c>
      <c r="L1" s="3" t="s">
        <v>328</v>
      </c>
      <c r="M1" s="5" t="s">
        <v>329</v>
      </c>
      <c r="N1" s="5" t="s">
        <v>330</v>
      </c>
      <c r="O1" s="5" t="s">
        <v>331</v>
      </c>
      <c r="P1" s="5" t="s">
        <v>332</v>
      </c>
      <c r="Q1" s="5" t="s">
        <v>333</v>
      </c>
      <c r="R1" s="5" t="s">
        <v>334</v>
      </c>
      <c r="S1" s="3" t="s">
        <v>335</v>
      </c>
      <c r="V1" s="3" t="s">
        <v>336</v>
      </c>
      <c r="W1" s="3" t="s">
        <v>337</v>
      </c>
      <c r="X1" s="3" t="s">
        <v>338</v>
      </c>
      <c r="Y1" s="3" t="s">
        <v>339</v>
      </c>
      <c r="Z1" s="3" t="s">
        <v>340</v>
      </c>
      <c r="AA1" s="7" t="s">
        <v>341</v>
      </c>
      <c r="AB1" s="7" t="s">
        <v>342</v>
      </c>
      <c r="AC1" s="7" t="s">
        <v>343</v>
      </c>
    </row>
    <row r="2" spans="1:29" ht="32" x14ac:dyDescent="0.4">
      <c r="A2" s="20" t="s">
        <v>344</v>
      </c>
      <c r="B2" s="59" t="s">
        <v>345</v>
      </c>
      <c r="C2" s="59" t="s">
        <v>346</v>
      </c>
      <c r="D2" s="59" t="s">
        <v>347</v>
      </c>
      <c r="E2" s="59" t="s">
        <v>348</v>
      </c>
      <c r="F2" s="60">
        <v>0</v>
      </c>
      <c r="G2" s="59">
        <f>[1]DISTRITOS!A2</f>
        <v>1</v>
      </c>
      <c r="H2" s="59" t="s">
        <v>349</v>
      </c>
      <c r="I2" s="1">
        <f>[2]DEPARTAMENTOS!A2</f>
        <v>1</v>
      </c>
      <c r="J2" s="20" t="s">
        <v>350</v>
      </c>
      <c r="K2" s="61" t="s">
        <v>329</v>
      </c>
      <c r="L2" s="62" t="s">
        <v>350</v>
      </c>
      <c r="M2" s="60">
        <v>1</v>
      </c>
      <c r="N2" s="60"/>
      <c r="O2" s="60"/>
      <c r="P2" s="60"/>
      <c r="Q2" s="60"/>
      <c r="R2" s="60"/>
      <c r="S2" s="20"/>
      <c r="T2" s="63" t="s">
        <v>351</v>
      </c>
      <c r="U2" s="63" t="s">
        <v>352</v>
      </c>
      <c r="V2" s="63" t="str">
        <f t="shared" ref="V2:V65" si="0">CONCATENATE(J2,T2,H2,T2,K2)</f>
        <v>AHUACHAPAN-0101-CENTRO</v>
      </c>
      <c r="W2" s="64" t="str">
        <f t="shared" ref="W2:W65" si="1">CONCATENATE(H2,T2,B2,C2,D2,T2,E2,T2,F2)</f>
        <v>0101-010611-001-0</v>
      </c>
      <c r="X2" s="15" t="str">
        <f t="shared" ref="X2:X65" si="2">CONCATENATE(J2,U2,K2)</f>
        <v>AHUACHAPAN CENTRO</v>
      </c>
      <c r="Y2" s="1" t="str">
        <f t="shared" ref="Y2:Y65" si="3">CONCATENATE(W2,U2,X2)</f>
        <v>0101-010611-001-0 AHUACHAPAN CENTRO</v>
      </c>
      <c r="Z2" s="1" t="str">
        <f t="shared" ref="Z2:Z65" si="4">CONCATENATE(H2,U2,J2,T2,K2)</f>
        <v>0101 AHUACHAPAN-CENTRO</v>
      </c>
      <c r="AA2" s="62">
        <v>501.01</v>
      </c>
      <c r="AB2" s="65">
        <v>237889</v>
      </c>
      <c r="AC2" s="62">
        <v>474.82</v>
      </c>
    </row>
    <row r="3" spans="1:29" ht="32" x14ac:dyDescent="0.4">
      <c r="B3" s="59" t="s">
        <v>345</v>
      </c>
      <c r="C3" s="59" t="s">
        <v>353</v>
      </c>
      <c r="D3" s="59" t="s">
        <v>354</v>
      </c>
      <c r="E3" s="59" t="s">
        <v>348</v>
      </c>
      <c r="F3" s="60">
        <v>9</v>
      </c>
      <c r="G3" s="59">
        <f>[1]DISTRITOS!A3</f>
        <v>2</v>
      </c>
      <c r="H3" s="59" t="s">
        <v>355</v>
      </c>
      <c r="J3" s="20" t="s">
        <v>18</v>
      </c>
      <c r="K3" s="61" t="s">
        <v>329</v>
      </c>
      <c r="L3" s="20" t="s">
        <v>350</v>
      </c>
      <c r="M3" s="60">
        <v>1</v>
      </c>
      <c r="T3" s="63" t="s">
        <v>351</v>
      </c>
      <c r="U3" s="63" t="s">
        <v>352</v>
      </c>
      <c r="V3" s="63" t="str">
        <f t="shared" si="0"/>
        <v>APANECA-0102-CENTRO</v>
      </c>
      <c r="W3" s="64" t="str">
        <f t="shared" si="1"/>
        <v>0102-011079-001-9</v>
      </c>
      <c r="X3" s="15" t="str">
        <f t="shared" si="2"/>
        <v>APANECA CENTRO</v>
      </c>
      <c r="Y3" s="1" t="str">
        <f t="shared" si="3"/>
        <v>0102-011079-001-9 APANECA CENTRO</v>
      </c>
      <c r="Z3" s="1" t="str">
        <f t="shared" si="4"/>
        <v>0102 APANECA-CENTRO</v>
      </c>
    </row>
    <row r="4" spans="1:29" x14ac:dyDescent="0.4">
      <c r="A4" s="20" t="s">
        <v>356</v>
      </c>
      <c r="B4" s="59" t="s">
        <v>345</v>
      </c>
      <c r="C4" s="59" t="s">
        <v>353</v>
      </c>
      <c r="D4" s="59" t="s">
        <v>354</v>
      </c>
      <c r="E4" s="59" t="s">
        <v>348</v>
      </c>
      <c r="F4" s="60">
        <v>9</v>
      </c>
      <c r="G4" s="59">
        <f>[1]DISTRITOS!A4</f>
        <v>3</v>
      </c>
      <c r="H4" s="59" t="s">
        <v>357</v>
      </c>
      <c r="J4" s="20" t="s">
        <v>25</v>
      </c>
      <c r="K4" s="1" t="s">
        <v>332</v>
      </c>
      <c r="L4" s="20" t="s">
        <v>350</v>
      </c>
      <c r="P4" s="60">
        <v>1</v>
      </c>
      <c r="T4" s="63" t="s">
        <v>351</v>
      </c>
      <c r="U4" s="63" t="s">
        <v>352</v>
      </c>
      <c r="V4" s="63" t="str">
        <f t="shared" si="0"/>
        <v>ATIQUIZAYA-0103-NORTE</v>
      </c>
      <c r="W4" s="64" t="str">
        <f t="shared" si="1"/>
        <v>0103-011079-001-9</v>
      </c>
      <c r="X4" s="15" t="str">
        <f t="shared" si="2"/>
        <v>ATIQUIZAYA NORTE</v>
      </c>
      <c r="Y4" s="1" t="str">
        <f t="shared" si="3"/>
        <v>0103-011079-001-9 ATIQUIZAYA NORTE</v>
      </c>
      <c r="Z4" s="1" t="str">
        <f t="shared" si="4"/>
        <v>0103 ATIQUIZAYA-NORTE</v>
      </c>
      <c r="AA4" s="62">
        <v>146.88999999999999</v>
      </c>
      <c r="AB4" s="65">
        <v>61720</v>
      </c>
      <c r="AC4" s="62">
        <v>420.18</v>
      </c>
    </row>
    <row r="5" spans="1:29" ht="32" x14ac:dyDescent="0.4">
      <c r="B5" s="59" t="s">
        <v>345</v>
      </c>
      <c r="C5" s="59" t="s">
        <v>353</v>
      </c>
      <c r="D5" s="59" t="s">
        <v>354</v>
      </c>
      <c r="E5" s="59" t="s">
        <v>348</v>
      </c>
      <c r="F5" s="60">
        <v>9</v>
      </c>
      <c r="G5" s="59">
        <f>[1]DISTRITOS!A5</f>
        <v>4</v>
      </c>
      <c r="H5" s="59" t="s">
        <v>358</v>
      </c>
      <c r="J5" s="20" t="s">
        <v>359</v>
      </c>
      <c r="K5" s="61" t="s">
        <v>329</v>
      </c>
      <c r="L5" s="20" t="s">
        <v>350</v>
      </c>
      <c r="M5" s="60">
        <v>1</v>
      </c>
      <c r="T5" s="63" t="s">
        <v>351</v>
      </c>
      <c r="U5" s="63" t="s">
        <v>352</v>
      </c>
      <c r="V5" s="63" t="str">
        <f t="shared" si="0"/>
        <v>CONCEPCION DE ATACO-0104-CENTRO</v>
      </c>
      <c r="W5" s="64" t="str">
        <f t="shared" si="1"/>
        <v>0104-011079-001-9</v>
      </c>
      <c r="X5" s="15" t="str">
        <f t="shared" si="2"/>
        <v>CONCEPCION DE ATACO CENTRO</v>
      </c>
      <c r="Y5" s="1" t="str">
        <f t="shared" si="3"/>
        <v>0104-011079-001-9 CONCEPCION DE ATACO CENTRO</v>
      </c>
      <c r="Z5" s="1" t="str">
        <f t="shared" si="4"/>
        <v>0104 CONCEPCION DE ATACO-CENTRO</v>
      </c>
    </row>
    <row r="6" spans="1:29" x14ac:dyDescent="0.4">
      <c r="B6" s="59" t="s">
        <v>345</v>
      </c>
      <c r="C6" s="59" t="s">
        <v>353</v>
      </c>
      <c r="D6" s="59" t="s">
        <v>354</v>
      </c>
      <c r="E6" s="59" t="s">
        <v>348</v>
      </c>
      <c r="F6" s="60">
        <v>9</v>
      </c>
      <c r="G6" s="59">
        <f>[1]DISTRITOS!A6</f>
        <v>5</v>
      </c>
      <c r="H6" s="59" t="s">
        <v>360</v>
      </c>
      <c r="J6" s="20" t="s">
        <v>26</v>
      </c>
      <c r="K6" s="1" t="s">
        <v>332</v>
      </c>
      <c r="L6" s="20" t="s">
        <v>350</v>
      </c>
      <c r="P6" s="60">
        <v>1</v>
      </c>
      <c r="T6" s="63" t="s">
        <v>351</v>
      </c>
      <c r="U6" s="63" t="s">
        <v>352</v>
      </c>
      <c r="V6" s="63" t="str">
        <f t="shared" si="0"/>
        <v>EL REFUGIO-0105-NORTE</v>
      </c>
      <c r="W6" s="64" t="str">
        <f t="shared" si="1"/>
        <v>0105-011079-001-9</v>
      </c>
      <c r="X6" s="15" t="str">
        <f t="shared" si="2"/>
        <v>EL REFUGIO NORTE</v>
      </c>
      <c r="Y6" s="1" t="str">
        <f t="shared" si="3"/>
        <v>0105-011079-001-9 EL REFUGIO NORTE</v>
      </c>
      <c r="Z6" s="1" t="str">
        <f t="shared" si="4"/>
        <v>0105 EL REFUGIO-NORTE</v>
      </c>
    </row>
    <row r="7" spans="1:29" x14ac:dyDescent="0.4">
      <c r="A7" s="20" t="s">
        <v>361</v>
      </c>
      <c r="B7" s="59" t="s">
        <v>345</v>
      </c>
      <c r="C7" s="59" t="s">
        <v>353</v>
      </c>
      <c r="D7" s="59" t="s">
        <v>354</v>
      </c>
      <c r="E7" s="59" t="s">
        <v>348</v>
      </c>
      <c r="F7" s="60">
        <v>9</v>
      </c>
      <c r="G7" s="59">
        <f>[1]DISTRITOS!A7</f>
        <v>6</v>
      </c>
      <c r="H7" s="59" t="s">
        <v>362</v>
      </c>
      <c r="J7" s="20" t="s">
        <v>21</v>
      </c>
      <c r="K7" s="1" t="s">
        <v>334</v>
      </c>
      <c r="L7" s="20" t="s">
        <v>350</v>
      </c>
      <c r="R7" s="60">
        <v>1</v>
      </c>
      <c r="T7" s="63" t="s">
        <v>351</v>
      </c>
      <c r="U7" s="63" t="s">
        <v>352</v>
      </c>
      <c r="V7" s="63" t="str">
        <f t="shared" si="0"/>
        <v>GUAYMANGO-0106-SUR</v>
      </c>
      <c r="W7" s="64" t="str">
        <f t="shared" si="1"/>
        <v>0106-011079-001-9</v>
      </c>
      <c r="X7" s="15" t="str">
        <f t="shared" si="2"/>
        <v>GUAYMANGO SUR</v>
      </c>
      <c r="Y7" s="1" t="str">
        <f t="shared" si="3"/>
        <v>0106-011079-001-9 GUAYMANGO SUR</v>
      </c>
      <c r="Z7" s="1" t="str">
        <f t="shared" si="4"/>
        <v>0106 GUAYMANGO-SUR</v>
      </c>
      <c r="AA7" s="62">
        <v>591.42999999999995</v>
      </c>
      <c r="AB7" s="65">
        <v>102457</v>
      </c>
      <c r="AC7" s="62">
        <v>173.24</v>
      </c>
    </row>
    <row r="8" spans="1:29" x14ac:dyDescent="0.4">
      <c r="B8" s="59" t="s">
        <v>345</v>
      </c>
      <c r="C8" s="59" t="s">
        <v>353</v>
      </c>
      <c r="D8" s="59" t="s">
        <v>354</v>
      </c>
      <c r="E8" s="59" t="s">
        <v>348</v>
      </c>
      <c r="F8" s="60">
        <v>9</v>
      </c>
      <c r="G8" s="59">
        <f>[1]DISTRITOS!A8</f>
        <v>7</v>
      </c>
      <c r="H8" s="59" t="s">
        <v>363</v>
      </c>
      <c r="J8" s="20" t="s">
        <v>22</v>
      </c>
      <c r="K8" s="1" t="s">
        <v>334</v>
      </c>
      <c r="L8" s="20" t="s">
        <v>350</v>
      </c>
      <c r="R8" s="60">
        <v>1</v>
      </c>
      <c r="T8" s="63" t="s">
        <v>351</v>
      </c>
      <c r="U8" s="63" t="s">
        <v>352</v>
      </c>
      <c r="V8" s="63" t="str">
        <f t="shared" si="0"/>
        <v>JUJUTLA-0107-SUR</v>
      </c>
      <c r="W8" s="64" t="str">
        <f t="shared" si="1"/>
        <v>0107-011079-001-9</v>
      </c>
      <c r="X8" s="15" t="str">
        <f t="shared" si="2"/>
        <v>JUJUTLA SUR</v>
      </c>
      <c r="Y8" s="1" t="str">
        <f t="shared" si="3"/>
        <v>0107-011079-001-9 JUJUTLA SUR</v>
      </c>
      <c r="Z8" s="1" t="str">
        <f t="shared" si="4"/>
        <v>0107 JUJUTLA-SUR</v>
      </c>
    </row>
    <row r="9" spans="1:29" x14ac:dyDescent="0.4">
      <c r="B9" s="59" t="s">
        <v>345</v>
      </c>
      <c r="C9" s="59" t="s">
        <v>353</v>
      </c>
      <c r="D9" s="59" t="s">
        <v>354</v>
      </c>
      <c r="E9" s="59" t="s">
        <v>348</v>
      </c>
      <c r="F9" s="60">
        <v>2</v>
      </c>
      <c r="G9" s="59">
        <f>[1]DISTRITOS!A9</f>
        <v>8</v>
      </c>
      <c r="H9" s="59" t="s">
        <v>364</v>
      </c>
      <c r="J9" s="20" t="s">
        <v>365</v>
      </c>
      <c r="K9" s="1" t="s">
        <v>334</v>
      </c>
      <c r="L9" s="20" t="s">
        <v>350</v>
      </c>
      <c r="R9" s="60">
        <v>1</v>
      </c>
      <c r="T9" s="63" t="s">
        <v>351</v>
      </c>
      <c r="U9" s="63" t="s">
        <v>352</v>
      </c>
      <c r="V9" s="63" t="str">
        <f t="shared" si="0"/>
        <v>SAN FRANCISCO MENENDEZ-0108-SUR</v>
      </c>
      <c r="W9" s="64" t="str">
        <f t="shared" si="1"/>
        <v>0108-011079-001-2</v>
      </c>
      <c r="X9" s="15" t="str">
        <f t="shared" si="2"/>
        <v>SAN FRANCISCO MENENDEZ SUR</v>
      </c>
      <c r="Y9" s="1" t="str">
        <f t="shared" si="3"/>
        <v>0108-011079-001-2 SAN FRANCISCO MENENDEZ SUR</v>
      </c>
      <c r="Z9" s="1" t="str">
        <f t="shared" si="4"/>
        <v>0108 SAN FRANCISCO MENENDEZ-SUR</v>
      </c>
    </row>
    <row r="10" spans="1:29" x14ac:dyDescent="0.4">
      <c r="B10" s="59" t="s">
        <v>345</v>
      </c>
      <c r="C10" s="59" t="s">
        <v>353</v>
      </c>
      <c r="D10" s="59" t="s">
        <v>354</v>
      </c>
      <c r="E10" s="59" t="s">
        <v>348</v>
      </c>
      <c r="F10" s="60">
        <v>9</v>
      </c>
      <c r="G10" s="59">
        <f>[1]DISTRITOS!A10</f>
        <v>9</v>
      </c>
      <c r="H10" s="59" t="s">
        <v>366</v>
      </c>
      <c r="J10" s="20" t="s">
        <v>27</v>
      </c>
      <c r="K10" s="1" t="s">
        <v>332</v>
      </c>
      <c r="L10" s="20" t="s">
        <v>350</v>
      </c>
      <c r="P10" s="60">
        <v>1</v>
      </c>
      <c r="T10" s="63" t="s">
        <v>351</v>
      </c>
      <c r="U10" s="63" t="s">
        <v>352</v>
      </c>
      <c r="V10" s="63" t="str">
        <f t="shared" si="0"/>
        <v>SAN LORENZO-0109-NORTE</v>
      </c>
      <c r="W10" s="64" t="str">
        <f t="shared" si="1"/>
        <v>0109-011079-001-9</v>
      </c>
      <c r="X10" s="15" t="str">
        <f t="shared" si="2"/>
        <v>SAN LORENZO NORTE</v>
      </c>
      <c r="Y10" s="1" t="str">
        <f t="shared" si="3"/>
        <v>0109-011079-001-9 SAN LORENZO NORTE</v>
      </c>
      <c r="Z10" s="1" t="str">
        <f t="shared" si="4"/>
        <v>0109 SAN LORENZO-NORTE</v>
      </c>
    </row>
    <row r="11" spans="1:29" x14ac:dyDescent="0.4">
      <c r="B11" s="59" t="s">
        <v>345</v>
      </c>
      <c r="C11" s="59" t="s">
        <v>353</v>
      </c>
      <c r="D11" s="59" t="s">
        <v>354</v>
      </c>
      <c r="E11" s="59" t="s">
        <v>348</v>
      </c>
      <c r="F11" s="60">
        <v>0</v>
      </c>
      <c r="G11" s="59">
        <f>[1]DISTRITOS!A11</f>
        <v>10</v>
      </c>
      <c r="H11" s="59" t="s">
        <v>367</v>
      </c>
      <c r="J11" s="20" t="s">
        <v>24</v>
      </c>
      <c r="K11" s="1" t="s">
        <v>334</v>
      </c>
      <c r="L11" s="20" t="s">
        <v>350</v>
      </c>
      <c r="R11" s="60">
        <v>1</v>
      </c>
      <c r="T11" s="63" t="s">
        <v>351</v>
      </c>
      <c r="U11" s="63" t="s">
        <v>352</v>
      </c>
      <c r="V11" s="63" t="str">
        <f t="shared" si="0"/>
        <v>SAN PEDRO PUXTLA-0110-SUR</v>
      </c>
      <c r="W11" s="64" t="str">
        <f t="shared" si="1"/>
        <v>0110-011079-001-0</v>
      </c>
      <c r="X11" s="15" t="str">
        <f t="shared" si="2"/>
        <v>SAN PEDRO PUXTLA SUR</v>
      </c>
      <c r="Y11" s="1" t="str">
        <f t="shared" si="3"/>
        <v>0110-011079-001-0 SAN PEDRO PUXTLA SUR</v>
      </c>
      <c r="Z11" s="1" t="str">
        <f t="shared" si="4"/>
        <v>0110 SAN PEDRO PUXTLA-SUR</v>
      </c>
    </row>
    <row r="12" spans="1:29" ht="32" x14ac:dyDescent="0.4">
      <c r="B12" s="59" t="s">
        <v>345</v>
      </c>
      <c r="C12" s="59" t="s">
        <v>353</v>
      </c>
      <c r="D12" s="59" t="s">
        <v>354</v>
      </c>
      <c r="E12" s="59" t="s">
        <v>348</v>
      </c>
      <c r="F12" s="60">
        <v>0</v>
      </c>
      <c r="G12" s="59">
        <f>[1]DISTRITOS!A12</f>
        <v>11</v>
      </c>
      <c r="H12" s="59" t="s">
        <v>368</v>
      </c>
      <c r="J12" s="20" t="s">
        <v>20</v>
      </c>
      <c r="K12" s="61" t="s">
        <v>329</v>
      </c>
      <c r="L12" s="20" t="s">
        <v>350</v>
      </c>
      <c r="M12" s="60">
        <v>1</v>
      </c>
      <c r="T12" s="63" t="s">
        <v>351</v>
      </c>
      <c r="U12" s="63" t="s">
        <v>352</v>
      </c>
      <c r="V12" s="63" t="str">
        <f t="shared" si="0"/>
        <v>TACUBA-0111-CENTRO</v>
      </c>
      <c r="W12" s="64" t="str">
        <f t="shared" si="1"/>
        <v>0111-011079-001-0</v>
      </c>
      <c r="X12" s="15" t="str">
        <f t="shared" si="2"/>
        <v>TACUBA CENTRO</v>
      </c>
      <c r="Y12" s="1" t="str">
        <f t="shared" si="3"/>
        <v>0111-011079-001-0 TACUBA CENTRO</v>
      </c>
      <c r="Z12" s="1" t="str">
        <f t="shared" si="4"/>
        <v>0111 TACUBA-CENTRO</v>
      </c>
    </row>
    <row r="13" spans="1:29" x14ac:dyDescent="0.4">
      <c r="B13" s="59" t="s">
        <v>345</v>
      </c>
      <c r="C13" s="59" t="s">
        <v>353</v>
      </c>
      <c r="D13" s="59" t="s">
        <v>354</v>
      </c>
      <c r="E13" s="59" t="s">
        <v>348</v>
      </c>
      <c r="F13" s="60">
        <v>0</v>
      </c>
      <c r="G13" s="59">
        <f>[1]DISTRITOS!A13</f>
        <v>12</v>
      </c>
      <c r="H13" s="59" t="s">
        <v>369</v>
      </c>
      <c r="J13" s="20" t="s">
        <v>370</v>
      </c>
      <c r="K13" s="1" t="s">
        <v>332</v>
      </c>
      <c r="L13" s="20" t="s">
        <v>350</v>
      </c>
      <c r="P13" s="60">
        <v>1</v>
      </c>
      <c r="T13" s="63" t="s">
        <v>351</v>
      </c>
      <c r="U13" s="63" t="s">
        <v>352</v>
      </c>
      <c r="V13" s="63" t="str">
        <f t="shared" si="0"/>
        <v>TURIN-0112-NORTE</v>
      </c>
      <c r="W13" s="64" t="str">
        <f t="shared" si="1"/>
        <v>0112-011079-001-0</v>
      </c>
      <c r="X13" s="15" t="str">
        <f t="shared" si="2"/>
        <v>TURIN NORTE</v>
      </c>
      <c r="Y13" s="1" t="str">
        <f t="shared" si="3"/>
        <v>0112-011079-001-0 TURIN NORTE</v>
      </c>
      <c r="Z13" s="1" t="str">
        <f t="shared" si="4"/>
        <v>0112 TURIN-NORTE</v>
      </c>
    </row>
    <row r="14" spans="1:29" ht="32" x14ac:dyDescent="0.4">
      <c r="A14" s="19" t="s">
        <v>371</v>
      </c>
      <c r="B14" s="67" t="s">
        <v>345</v>
      </c>
      <c r="C14" s="67" t="s">
        <v>353</v>
      </c>
      <c r="D14" s="67" t="s">
        <v>354</v>
      </c>
      <c r="E14" s="67" t="s">
        <v>348</v>
      </c>
      <c r="F14" s="68">
        <v>9</v>
      </c>
      <c r="G14" s="67">
        <f>[1]DISTRITOS!A14</f>
        <v>13</v>
      </c>
      <c r="H14" s="67" t="s">
        <v>372</v>
      </c>
      <c r="I14" s="19"/>
      <c r="J14" s="19" t="s">
        <v>35</v>
      </c>
      <c r="K14" s="61" t="s">
        <v>333</v>
      </c>
      <c r="L14" s="19" t="s">
        <v>3</v>
      </c>
      <c r="M14" s="68"/>
      <c r="N14" s="68"/>
      <c r="O14" s="68"/>
      <c r="P14" s="68"/>
      <c r="Q14" s="68">
        <v>1</v>
      </c>
      <c r="R14" s="68"/>
      <c r="S14" s="19"/>
      <c r="T14" s="63" t="s">
        <v>351</v>
      </c>
      <c r="U14" s="63" t="s">
        <v>352</v>
      </c>
      <c r="V14" s="63" t="str">
        <f t="shared" si="0"/>
        <v>CANDELARIA DE LA FRONTERA-0201-OESTE</v>
      </c>
      <c r="W14" s="64" t="str">
        <f t="shared" si="1"/>
        <v>0201-011079-001-9</v>
      </c>
      <c r="X14" s="15" t="str">
        <f t="shared" si="2"/>
        <v>CANDELARIA DE LA FRONTERA OESTE</v>
      </c>
      <c r="Y14" s="1" t="str">
        <f t="shared" si="3"/>
        <v>0201-011079-001-9 CANDELARIA DE LA FRONTERA OESTE</v>
      </c>
      <c r="Z14" s="1" t="str">
        <f t="shared" si="4"/>
        <v>0201 CANDELARIA DE LA FRONTERA-OESTE</v>
      </c>
      <c r="AA14" s="69">
        <v>447.87</v>
      </c>
      <c r="AB14" s="70">
        <v>172035</v>
      </c>
      <c r="AC14" s="69">
        <v>384.12</v>
      </c>
    </row>
    <row r="15" spans="1:29" x14ac:dyDescent="0.4">
      <c r="A15" s="19" t="s">
        <v>373</v>
      </c>
      <c r="B15" s="67" t="s">
        <v>345</v>
      </c>
      <c r="C15" s="67" t="s">
        <v>346</v>
      </c>
      <c r="D15" s="67" t="s">
        <v>347</v>
      </c>
      <c r="E15" s="67" t="s">
        <v>348</v>
      </c>
      <c r="F15" s="68">
        <v>2</v>
      </c>
      <c r="G15" s="67">
        <f>[1]DISTRITOS!A15</f>
        <v>14</v>
      </c>
      <c r="H15" s="67" t="s">
        <v>374</v>
      </c>
      <c r="J15" s="19" t="s">
        <v>33</v>
      </c>
      <c r="K15" s="1" t="s">
        <v>331</v>
      </c>
      <c r="L15" s="19" t="s">
        <v>3</v>
      </c>
      <c r="O15" s="68">
        <v>1</v>
      </c>
      <c r="T15" s="63" t="s">
        <v>351</v>
      </c>
      <c r="U15" s="63" t="s">
        <v>352</v>
      </c>
      <c r="V15" s="63" t="str">
        <f t="shared" si="0"/>
        <v>COATEPEQUE-0202-ESTE</v>
      </c>
      <c r="W15" s="64" t="str">
        <f t="shared" si="1"/>
        <v>0202-010611-001-2</v>
      </c>
      <c r="X15" s="15" t="str">
        <f t="shared" si="2"/>
        <v>COATEPEQUE ESTE</v>
      </c>
      <c r="Y15" s="1" t="str">
        <f t="shared" si="3"/>
        <v>0202-010611-001-2 COATEPEQUE ESTE</v>
      </c>
      <c r="Z15" s="1" t="str">
        <f t="shared" si="4"/>
        <v>0202 COATEPEQUE-ESTE</v>
      </c>
      <c r="AA15" s="69">
        <v>218.28</v>
      </c>
      <c r="AB15" s="70">
        <v>64061</v>
      </c>
      <c r="AC15" s="69">
        <v>293.48</v>
      </c>
    </row>
    <row r="16" spans="1:29" ht="32" x14ac:dyDescent="0.4">
      <c r="B16" s="67" t="s">
        <v>345</v>
      </c>
      <c r="C16" s="67" t="s">
        <v>346</v>
      </c>
      <c r="D16" s="67" t="s">
        <v>347</v>
      </c>
      <c r="E16" s="67" t="s">
        <v>348</v>
      </c>
      <c r="F16" s="68">
        <v>2</v>
      </c>
      <c r="G16" s="67">
        <f>[1]DISTRITOS!A16</f>
        <v>15</v>
      </c>
      <c r="H16" s="67" t="s">
        <v>375</v>
      </c>
      <c r="J16" s="19" t="s">
        <v>36</v>
      </c>
      <c r="K16" s="61" t="s">
        <v>333</v>
      </c>
      <c r="L16" s="19" t="s">
        <v>3</v>
      </c>
      <c r="Q16" s="68">
        <v>1</v>
      </c>
      <c r="T16" s="63" t="s">
        <v>351</v>
      </c>
      <c r="U16" s="63" t="s">
        <v>352</v>
      </c>
      <c r="V16" s="63" t="str">
        <f t="shared" si="0"/>
        <v>CHALCHUAPA-0203-OESTE</v>
      </c>
      <c r="W16" s="64" t="str">
        <f t="shared" si="1"/>
        <v>0203-010611-001-2</v>
      </c>
      <c r="X16" s="15" t="str">
        <f t="shared" si="2"/>
        <v>CHALCHUAPA OESTE</v>
      </c>
      <c r="Y16" s="1" t="str">
        <f t="shared" si="3"/>
        <v>0203-010611-001-2 CHALCHUAPA OESTE</v>
      </c>
      <c r="Z16" s="1" t="str">
        <f t="shared" si="4"/>
        <v>0203 CHALCHUAPA-OESTE</v>
      </c>
    </row>
    <row r="17" spans="1:29" x14ac:dyDescent="0.4">
      <c r="B17" s="67" t="s">
        <v>376</v>
      </c>
      <c r="C17" s="67" t="s">
        <v>353</v>
      </c>
      <c r="D17" s="67" t="s">
        <v>354</v>
      </c>
      <c r="E17" s="67" t="s">
        <v>348</v>
      </c>
      <c r="F17" s="68">
        <v>9</v>
      </c>
      <c r="G17" s="67">
        <f>[1]DISTRITOS!A17</f>
        <v>16</v>
      </c>
      <c r="H17" s="67" t="s">
        <v>377</v>
      </c>
      <c r="J17" s="19" t="s">
        <v>34</v>
      </c>
      <c r="K17" s="1" t="s">
        <v>331</v>
      </c>
      <c r="L17" s="19" t="s">
        <v>3</v>
      </c>
      <c r="O17" s="68">
        <v>1</v>
      </c>
      <c r="T17" s="63" t="s">
        <v>351</v>
      </c>
      <c r="U17" s="63" t="s">
        <v>352</v>
      </c>
      <c r="V17" s="63" t="str">
        <f t="shared" si="0"/>
        <v>EL CONGO-0204-ESTE</v>
      </c>
      <c r="W17" s="64" t="str">
        <f t="shared" si="1"/>
        <v>0204-021079-001-9</v>
      </c>
      <c r="X17" s="15" t="str">
        <f t="shared" si="2"/>
        <v>EL CONGO ESTE</v>
      </c>
      <c r="Y17" s="1" t="str">
        <f t="shared" si="3"/>
        <v>0204-021079-001-9 EL CONGO ESTE</v>
      </c>
      <c r="Z17" s="1" t="str">
        <f t="shared" si="4"/>
        <v>0204 EL CONGO-ESTE</v>
      </c>
    </row>
    <row r="18" spans="1:29" ht="32" x14ac:dyDescent="0.4">
      <c r="B18" s="67" t="s">
        <v>376</v>
      </c>
      <c r="C18" s="67" t="s">
        <v>353</v>
      </c>
      <c r="D18" s="67" t="s">
        <v>354</v>
      </c>
      <c r="E18" s="67" t="s">
        <v>348</v>
      </c>
      <c r="F18" s="68">
        <v>9</v>
      </c>
      <c r="G18" s="67">
        <f>[1]DISTRITOS!A18</f>
        <v>17</v>
      </c>
      <c r="H18" s="67" t="s">
        <v>378</v>
      </c>
      <c r="J18" s="19" t="s">
        <v>37</v>
      </c>
      <c r="K18" s="61" t="s">
        <v>333</v>
      </c>
      <c r="L18" s="19" t="s">
        <v>3</v>
      </c>
      <c r="Q18" s="68">
        <v>1</v>
      </c>
      <c r="T18" s="63" t="s">
        <v>351</v>
      </c>
      <c r="U18" s="63" t="s">
        <v>352</v>
      </c>
      <c r="V18" s="63" t="str">
        <f t="shared" si="0"/>
        <v>EL PORVENIR-0205-OESTE</v>
      </c>
      <c r="W18" s="64" t="str">
        <f t="shared" si="1"/>
        <v>0205-021079-001-9</v>
      </c>
      <c r="X18" s="15" t="str">
        <f t="shared" si="2"/>
        <v>EL PORVENIR OESTE</v>
      </c>
      <c r="Y18" s="1" t="str">
        <f t="shared" si="3"/>
        <v>0205-021079-001-9 EL PORVENIR OESTE</v>
      </c>
      <c r="Z18" s="1" t="str">
        <f t="shared" si="4"/>
        <v>0205 EL PORVENIR-OESTE</v>
      </c>
    </row>
    <row r="19" spans="1:29" x14ac:dyDescent="0.4">
      <c r="A19" s="19" t="s">
        <v>356</v>
      </c>
      <c r="B19" s="67" t="s">
        <v>376</v>
      </c>
      <c r="C19" s="67" t="s">
        <v>353</v>
      </c>
      <c r="D19" s="67" t="s">
        <v>354</v>
      </c>
      <c r="E19" s="67" t="s">
        <v>348</v>
      </c>
      <c r="F19" s="68">
        <v>9</v>
      </c>
      <c r="G19" s="67">
        <f>[1]DISTRITOS!A19</f>
        <v>18</v>
      </c>
      <c r="H19" s="67" t="s">
        <v>379</v>
      </c>
      <c r="J19" s="19" t="s">
        <v>29</v>
      </c>
      <c r="K19" s="1" t="s">
        <v>332</v>
      </c>
      <c r="L19" s="19" t="s">
        <v>3</v>
      </c>
      <c r="P19" s="68">
        <v>1</v>
      </c>
      <c r="T19" s="63" t="s">
        <v>351</v>
      </c>
      <c r="U19" s="63" t="s">
        <v>352</v>
      </c>
      <c r="V19" s="63" t="str">
        <f t="shared" si="0"/>
        <v>MASAHUAT-0206-NORTE</v>
      </c>
      <c r="W19" s="64" t="str">
        <f t="shared" si="1"/>
        <v>0206-021079-001-9</v>
      </c>
      <c r="X19" s="15" t="str">
        <f t="shared" si="2"/>
        <v>MASAHUAT NORTE</v>
      </c>
      <c r="Y19" s="1" t="str">
        <f t="shared" si="3"/>
        <v>0206-021079-001-9 MASAHUAT NORTE</v>
      </c>
      <c r="Z19" s="1" t="str">
        <f t="shared" si="4"/>
        <v>0206 MASAHUAT-NORTE</v>
      </c>
      <c r="AA19" s="69">
        <v>956.97</v>
      </c>
      <c r="AB19" s="70">
        <v>91108</v>
      </c>
      <c r="AC19" s="69">
        <v>95.2</v>
      </c>
    </row>
    <row r="20" spans="1:29" x14ac:dyDescent="0.4">
      <c r="B20" s="67" t="s">
        <v>345</v>
      </c>
      <c r="C20" s="67" t="s">
        <v>346</v>
      </c>
      <c r="D20" s="67" t="s">
        <v>347</v>
      </c>
      <c r="E20" s="67" t="s">
        <v>380</v>
      </c>
      <c r="F20" s="68">
        <v>4</v>
      </c>
      <c r="G20" s="67">
        <f>[1]DISTRITOS!A20</f>
        <v>19</v>
      </c>
      <c r="H20" s="67" t="s">
        <v>381</v>
      </c>
      <c r="J20" s="19" t="s">
        <v>382</v>
      </c>
      <c r="K20" s="1" t="s">
        <v>332</v>
      </c>
      <c r="L20" s="19" t="s">
        <v>3</v>
      </c>
      <c r="P20" s="68">
        <v>1</v>
      </c>
      <c r="T20" s="63" t="s">
        <v>351</v>
      </c>
      <c r="U20" s="63" t="s">
        <v>352</v>
      </c>
      <c r="V20" s="63" t="str">
        <f t="shared" si="0"/>
        <v>METAPAN-0207-NORTE</v>
      </c>
      <c r="W20" s="64" t="str">
        <f t="shared" si="1"/>
        <v>0207-010611-002-4</v>
      </c>
      <c r="X20" s="15" t="str">
        <f t="shared" si="2"/>
        <v>METAPAN NORTE</v>
      </c>
      <c r="Y20" s="1" t="str">
        <f t="shared" si="3"/>
        <v>0207-010611-002-4 METAPAN NORTE</v>
      </c>
      <c r="Z20" s="1" t="str">
        <f t="shared" si="4"/>
        <v>0207 METAPAN-NORTE</v>
      </c>
    </row>
    <row r="21" spans="1:29" ht="32" x14ac:dyDescent="0.4">
      <c r="B21" s="67" t="s">
        <v>376</v>
      </c>
      <c r="C21" s="67" t="s">
        <v>353</v>
      </c>
      <c r="D21" s="67" t="s">
        <v>354</v>
      </c>
      <c r="E21" s="67" t="s">
        <v>348</v>
      </c>
      <c r="F21" s="68">
        <v>9</v>
      </c>
      <c r="G21" s="67">
        <f>[1]DISTRITOS!A21</f>
        <v>20</v>
      </c>
      <c r="H21" s="67" t="s">
        <v>383</v>
      </c>
      <c r="J21" s="19" t="s">
        <v>38</v>
      </c>
      <c r="K21" s="61" t="s">
        <v>333</v>
      </c>
      <c r="L21" s="19" t="s">
        <v>3</v>
      </c>
      <c r="Q21" s="68">
        <v>1</v>
      </c>
      <c r="T21" s="63" t="s">
        <v>351</v>
      </c>
      <c r="U21" s="63" t="s">
        <v>352</v>
      </c>
      <c r="V21" s="63" t="str">
        <f t="shared" si="0"/>
        <v>SAN ANTONIO PAJONAL-0208-OESTE</v>
      </c>
      <c r="W21" s="64" t="str">
        <f t="shared" si="1"/>
        <v>0208-021079-001-9</v>
      </c>
      <c r="X21" s="15" t="str">
        <f t="shared" si="2"/>
        <v>SAN ANTONIO PAJONAL OESTE</v>
      </c>
      <c r="Y21" s="1" t="str">
        <f t="shared" si="3"/>
        <v>0208-021079-001-9 SAN ANTONIO PAJONAL OESTE</v>
      </c>
      <c r="Z21" s="1" t="str">
        <f t="shared" si="4"/>
        <v>0208 SAN ANTONIO PAJONAL-OESTE</v>
      </c>
    </row>
    <row r="22" spans="1:29" ht="32" x14ac:dyDescent="0.4">
      <c r="B22" s="67" t="s">
        <v>376</v>
      </c>
      <c r="C22" s="67" t="s">
        <v>353</v>
      </c>
      <c r="D22" s="67" t="s">
        <v>354</v>
      </c>
      <c r="E22" s="67" t="s">
        <v>348</v>
      </c>
      <c r="F22" s="68">
        <v>9</v>
      </c>
      <c r="G22" s="67">
        <f>[1]DISTRITOS!A22</f>
        <v>21</v>
      </c>
      <c r="H22" s="67" t="s">
        <v>384</v>
      </c>
      <c r="J22" s="19" t="s">
        <v>385</v>
      </c>
      <c r="K22" s="61" t="s">
        <v>333</v>
      </c>
      <c r="L22" s="19" t="s">
        <v>3</v>
      </c>
      <c r="Q22" s="68">
        <v>1</v>
      </c>
      <c r="T22" s="63" t="s">
        <v>351</v>
      </c>
      <c r="U22" s="63" t="s">
        <v>352</v>
      </c>
      <c r="V22" s="63" t="str">
        <f t="shared" si="0"/>
        <v>SAN SEBASTIAN SALITRILLO-0209-OESTE</v>
      </c>
      <c r="W22" s="64" t="str">
        <f t="shared" si="1"/>
        <v>0209-021079-001-9</v>
      </c>
      <c r="X22" s="15" t="str">
        <f t="shared" si="2"/>
        <v>SAN SEBASTIAN SALITRILLO OESTE</v>
      </c>
      <c r="Y22" s="1" t="str">
        <f t="shared" si="3"/>
        <v>0209-021079-001-9 SAN SEBASTIAN SALITRILLO OESTE</v>
      </c>
      <c r="Z22" s="1" t="str">
        <f t="shared" si="4"/>
        <v>0209 SAN SEBASTIAN SALITRILLO-OESTE</v>
      </c>
    </row>
    <row r="23" spans="1:29" ht="32" x14ac:dyDescent="0.4">
      <c r="A23" s="19" t="s">
        <v>344</v>
      </c>
      <c r="B23" s="67" t="s">
        <v>376</v>
      </c>
      <c r="C23" s="67" t="s">
        <v>353</v>
      </c>
      <c r="D23" s="67" t="s">
        <v>354</v>
      </c>
      <c r="E23" s="67" t="s">
        <v>348</v>
      </c>
      <c r="F23" s="68">
        <v>5</v>
      </c>
      <c r="G23" s="67">
        <f>[1]DISTRITOS!A23</f>
        <v>22</v>
      </c>
      <c r="H23" s="67" t="s">
        <v>386</v>
      </c>
      <c r="I23" s="1">
        <f>[2]DEPARTAMENTOS!A3</f>
        <v>2</v>
      </c>
      <c r="J23" s="19" t="s">
        <v>3</v>
      </c>
      <c r="K23" s="61" t="s">
        <v>329</v>
      </c>
      <c r="L23" s="69" t="s">
        <v>3</v>
      </c>
      <c r="M23" s="68">
        <v>1</v>
      </c>
      <c r="T23" s="63" t="s">
        <v>351</v>
      </c>
      <c r="U23" s="63" t="s">
        <v>352</v>
      </c>
      <c r="V23" s="63" t="str">
        <f t="shared" si="0"/>
        <v>SANTA ANA-0210-CENTRO</v>
      </c>
      <c r="W23" s="64" t="str">
        <f t="shared" si="1"/>
        <v>0210-021079-001-5</v>
      </c>
      <c r="X23" s="15" t="str">
        <f t="shared" si="2"/>
        <v>SANTA ANA CENTRO</v>
      </c>
      <c r="Y23" s="1" t="str">
        <f t="shared" si="3"/>
        <v>0210-021079-001-5 SANTA ANA CENTRO</v>
      </c>
      <c r="Z23" s="1" t="str">
        <f t="shared" si="4"/>
        <v>0210 SANTA ANA-CENTRO</v>
      </c>
      <c r="AA23" s="69">
        <v>400.05</v>
      </c>
      <c r="AB23" s="70">
        <v>264091</v>
      </c>
      <c r="AC23" s="69">
        <v>660.14</v>
      </c>
    </row>
    <row r="24" spans="1:29" x14ac:dyDescent="0.4">
      <c r="B24" s="67" t="s">
        <v>376</v>
      </c>
      <c r="C24" s="67" t="s">
        <v>353</v>
      </c>
      <c r="D24" s="67" t="s">
        <v>354</v>
      </c>
      <c r="E24" s="67" t="s">
        <v>348</v>
      </c>
      <c r="F24" s="68">
        <v>0</v>
      </c>
      <c r="G24" s="67">
        <f>[1]DISTRITOS!A24</f>
        <v>23</v>
      </c>
      <c r="H24" s="67" t="s">
        <v>387</v>
      </c>
      <c r="J24" s="19" t="s">
        <v>388</v>
      </c>
      <c r="K24" s="1" t="s">
        <v>332</v>
      </c>
      <c r="L24" s="19" t="s">
        <v>3</v>
      </c>
      <c r="P24" s="68">
        <v>1</v>
      </c>
      <c r="T24" s="63" t="s">
        <v>351</v>
      </c>
      <c r="U24" s="63" t="s">
        <v>352</v>
      </c>
      <c r="V24" s="63" t="str">
        <f t="shared" si="0"/>
        <v>SANTA ROSA GUACHIPILIN-0211-NORTE</v>
      </c>
      <c r="W24" s="64" t="str">
        <f t="shared" si="1"/>
        <v>0211-021079-001-0</v>
      </c>
      <c r="X24" s="15" t="str">
        <f t="shared" si="2"/>
        <v>SANTA ROSA GUACHIPILIN NORTE</v>
      </c>
      <c r="Y24" s="1" t="str">
        <f t="shared" si="3"/>
        <v>0211-021079-001-0 SANTA ROSA GUACHIPILIN NORTE</v>
      </c>
      <c r="Z24" s="1" t="str">
        <f t="shared" si="4"/>
        <v>0211 SANTA ROSA GUACHIPILIN-NORTE</v>
      </c>
    </row>
    <row r="25" spans="1:29" ht="32" x14ac:dyDescent="0.4">
      <c r="B25" s="67" t="s">
        <v>376</v>
      </c>
      <c r="C25" s="67" t="s">
        <v>353</v>
      </c>
      <c r="D25" s="67" t="s">
        <v>354</v>
      </c>
      <c r="E25" s="67" t="s">
        <v>348</v>
      </c>
      <c r="F25" s="68">
        <v>0</v>
      </c>
      <c r="G25" s="67">
        <f>[1]DISTRITOS!A25</f>
        <v>24</v>
      </c>
      <c r="H25" s="67" t="s">
        <v>389</v>
      </c>
      <c r="J25" s="19" t="s">
        <v>40</v>
      </c>
      <c r="K25" s="61" t="s">
        <v>333</v>
      </c>
      <c r="L25" s="19" t="s">
        <v>3</v>
      </c>
      <c r="Q25" s="68">
        <v>1</v>
      </c>
      <c r="T25" s="63" t="s">
        <v>351</v>
      </c>
      <c r="U25" s="63" t="s">
        <v>352</v>
      </c>
      <c r="V25" s="63" t="str">
        <f t="shared" si="0"/>
        <v>SANTIAGO DE LA FRONTERA-0212-OESTE</v>
      </c>
      <c r="W25" s="64" t="str">
        <f t="shared" si="1"/>
        <v>0212-021079-001-0</v>
      </c>
      <c r="X25" s="15" t="str">
        <f t="shared" si="2"/>
        <v>SANTIAGO DE LA FRONTERA OESTE</v>
      </c>
      <c r="Y25" s="1" t="str">
        <f t="shared" si="3"/>
        <v>0212-021079-001-0 SANTIAGO DE LA FRONTERA OESTE</v>
      </c>
      <c r="Z25" s="1" t="str">
        <f t="shared" si="4"/>
        <v>0212 SANTIAGO DE LA FRONTERA-OESTE</v>
      </c>
    </row>
    <row r="26" spans="1:29" x14ac:dyDescent="0.4">
      <c r="B26" s="67" t="s">
        <v>376</v>
      </c>
      <c r="C26" s="67" t="s">
        <v>353</v>
      </c>
      <c r="D26" s="67" t="s">
        <v>354</v>
      </c>
      <c r="E26" s="67" t="s">
        <v>348</v>
      </c>
      <c r="F26" s="68">
        <v>0</v>
      </c>
      <c r="G26" s="67">
        <f>[1]DISTRITOS!A26</f>
        <v>25</v>
      </c>
      <c r="H26" s="67" t="s">
        <v>390</v>
      </c>
      <c r="J26" s="19" t="s">
        <v>32</v>
      </c>
      <c r="K26" s="1" t="s">
        <v>332</v>
      </c>
      <c r="L26" s="19" t="s">
        <v>3</v>
      </c>
      <c r="P26" s="68">
        <v>1</v>
      </c>
      <c r="T26" s="63" t="s">
        <v>351</v>
      </c>
      <c r="U26" s="63" t="s">
        <v>352</v>
      </c>
      <c r="V26" s="63" t="str">
        <f t="shared" si="0"/>
        <v>TEXISTEPEQUE-0213-NORTE</v>
      </c>
      <c r="W26" s="64" t="str">
        <f t="shared" si="1"/>
        <v>0213-021079-001-0</v>
      </c>
      <c r="X26" s="15" t="str">
        <f t="shared" si="2"/>
        <v>TEXISTEPEQUE NORTE</v>
      </c>
      <c r="Y26" s="1" t="str">
        <f t="shared" si="3"/>
        <v>0213-021079-001-0 TEXISTEPEQUE NORTE</v>
      </c>
      <c r="Z26" s="1" t="str">
        <f t="shared" si="4"/>
        <v>0213 TEXISTEPEQUE-NORTE</v>
      </c>
    </row>
    <row r="27" spans="1:29" ht="32" x14ac:dyDescent="0.4">
      <c r="A27" s="18" t="s">
        <v>371</v>
      </c>
      <c r="B27" s="71" t="s">
        <v>345</v>
      </c>
      <c r="C27" s="71" t="s">
        <v>346</v>
      </c>
      <c r="D27" s="71" t="s">
        <v>347</v>
      </c>
      <c r="E27" s="71" t="s">
        <v>348</v>
      </c>
      <c r="F27" s="72">
        <v>4</v>
      </c>
      <c r="G27" s="71">
        <f>[1]DISTRITOS!A27</f>
        <v>26</v>
      </c>
      <c r="H27" s="71" t="s">
        <v>391</v>
      </c>
      <c r="I27" s="18"/>
      <c r="J27" s="18" t="s">
        <v>55</v>
      </c>
      <c r="K27" s="61" t="s">
        <v>333</v>
      </c>
      <c r="L27" s="18" t="s">
        <v>4</v>
      </c>
      <c r="M27" s="72"/>
      <c r="N27" s="72"/>
      <c r="O27" s="72"/>
      <c r="P27" s="72"/>
      <c r="Q27" s="72">
        <v>1</v>
      </c>
      <c r="R27" s="72"/>
      <c r="S27" s="18"/>
      <c r="T27" s="63" t="s">
        <v>351</v>
      </c>
      <c r="U27" s="63" t="s">
        <v>352</v>
      </c>
      <c r="V27" s="63" t="str">
        <f t="shared" si="0"/>
        <v>ACAJUTLA-0301-OESTE</v>
      </c>
      <c r="W27" s="64" t="str">
        <f t="shared" si="1"/>
        <v>0301-010611-001-4</v>
      </c>
      <c r="X27" s="15" t="str">
        <f t="shared" si="2"/>
        <v>ACAJUTLA OESTE</v>
      </c>
      <c r="Y27" s="1" t="str">
        <f t="shared" si="3"/>
        <v>0301-010611-001-4 ACAJUTLA OESTE</v>
      </c>
      <c r="Z27" s="1" t="str">
        <f t="shared" si="4"/>
        <v>0301 ACAJUTLA-OESTE</v>
      </c>
      <c r="AA27" s="73">
        <v>166.59</v>
      </c>
      <c r="AB27" s="74">
        <v>53259</v>
      </c>
      <c r="AC27" s="73">
        <v>319.7</v>
      </c>
    </row>
    <row r="28" spans="1:29" x14ac:dyDescent="0.4">
      <c r="A28" s="18" t="s">
        <v>373</v>
      </c>
      <c r="B28" s="71" t="s">
        <v>392</v>
      </c>
      <c r="C28" s="71" t="s">
        <v>376</v>
      </c>
      <c r="D28" s="71" t="s">
        <v>393</v>
      </c>
      <c r="E28" s="71" t="s">
        <v>348</v>
      </c>
      <c r="F28" s="72">
        <v>8</v>
      </c>
      <c r="G28" s="71">
        <f>[1]DISTRITOS!A28</f>
        <v>27</v>
      </c>
      <c r="H28" s="71" t="s">
        <v>394</v>
      </c>
      <c r="J28" s="18" t="s">
        <v>49</v>
      </c>
      <c r="K28" s="1" t="s">
        <v>331</v>
      </c>
      <c r="L28" s="18" t="s">
        <v>4</v>
      </c>
      <c r="O28" s="72">
        <v>1</v>
      </c>
      <c r="T28" s="63" t="s">
        <v>351</v>
      </c>
      <c r="U28" s="63" t="s">
        <v>352</v>
      </c>
      <c r="V28" s="63" t="str">
        <f t="shared" si="0"/>
        <v>ARMENIA-0302-ESTE</v>
      </c>
      <c r="W28" s="64" t="str">
        <f t="shared" si="1"/>
        <v>0302-230278-001-8</v>
      </c>
      <c r="X28" s="15" t="str">
        <f t="shared" si="2"/>
        <v>ARMENIA ESTE</v>
      </c>
      <c r="Y28" s="1" t="str">
        <f t="shared" si="3"/>
        <v>0302-230278-001-8 ARMENIA ESTE</v>
      </c>
      <c r="Z28" s="1" t="str">
        <f t="shared" si="4"/>
        <v>0302 ARMENIA-ESTE</v>
      </c>
      <c r="AA28" s="73">
        <v>542.89</v>
      </c>
      <c r="AB28" s="74">
        <v>160035</v>
      </c>
      <c r="AC28" s="73">
        <v>294.77999999999997</v>
      </c>
    </row>
    <row r="29" spans="1:29" x14ac:dyDescent="0.4">
      <c r="B29" s="71" t="s">
        <v>395</v>
      </c>
      <c r="C29" s="71" t="s">
        <v>353</v>
      </c>
      <c r="D29" s="71" t="s">
        <v>354</v>
      </c>
      <c r="E29" s="71" t="s">
        <v>348</v>
      </c>
      <c r="F29" s="72">
        <v>9</v>
      </c>
      <c r="G29" s="71">
        <f>[1]DISTRITOS!A29</f>
        <v>28</v>
      </c>
      <c r="H29" s="71" t="s">
        <v>396</v>
      </c>
      <c r="J29" s="18" t="s">
        <v>50</v>
      </c>
      <c r="K29" s="1" t="s">
        <v>331</v>
      </c>
      <c r="L29" s="18" t="s">
        <v>4</v>
      </c>
      <c r="O29" s="72">
        <v>1</v>
      </c>
      <c r="T29" s="63" t="s">
        <v>351</v>
      </c>
      <c r="U29" s="63" t="s">
        <v>352</v>
      </c>
      <c r="V29" s="63" t="str">
        <f t="shared" si="0"/>
        <v>CALUCO-0303-ESTE</v>
      </c>
      <c r="W29" s="64" t="str">
        <f t="shared" si="1"/>
        <v>0303-031079-001-9</v>
      </c>
      <c r="X29" s="15" t="str">
        <f t="shared" si="2"/>
        <v>CALUCO ESTE</v>
      </c>
      <c r="Y29" s="1" t="str">
        <f t="shared" si="3"/>
        <v>0303-031079-001-9 CALUCO ESTE</v>
      </c>
      <c r="Z29" s="1" t="str">
        <f t="shared" si="4"/>
        <v>0303 CALUCO-ESTE</v>
      </c>
    </row>
    <row r="30" spans="1:29" x14ac:dyDescent="0.4">
      <c r="B30" s="71" t="s">
        <v>395</v>
      </c>
      <c r="C30" s="71" t="s">
        <v>353</v>
      </c>
      <c r="D30" s="71" t="s">
        <v>354</v>
      </c>
      <c r="E30" s="71" t="s">
        <v>348</v>
      </c>
      <c r="F30" s="72">
        <v>9</v>
      </c>
      <c r="G30" s="71">
        <f>[1]DISTRITOS!A30</f>
        <v>29</v>
      </c>
      <c r="H30" s="71" t="s">
        <v>397</v>
      </c>
      <c r="J30" s="18" t="s">
        <v>51</v>
      </c>
      <c r="K30" s="1" t="s">
        <v>331</v>
      </c>
      <c r="L30" s="18" t="s">
        <v>4</v>
      </c>
      <c r="O30" s="72">
        <v>1</v>
      </c>
      <c r="T30" s="63" t="s">
        <v>351</v>
      </c>
      <c r="U30" s="63" t="s">
        <v>352</v>
      </c>
      <c r="V30" s="63" t="str">
        <f t="shared" si="0"/>
        <v>CUISNAHUAT-0304-ESTE</v>
      </c>
      <c r="W30" s="64" t="str">
        <f t="shared" si="1"/>
        <v>0304-031079-001-9</v>
      </c>
      <c r="X30" s="15" t="str">
        <f t="shared" si="2"/>
        <v>CUISNAHUAT ESTE</v>
      </c>
      <c r="Y30" s="1" t="str">
        <f t="shared" si="3"/>
        <v>0304-031079-001-9 CUISNAHUAT ESTE</v>
      </c>
      <c r="Z30" s="1" t="str">
        <f t="shared" si="4"/>
        <v>0304 CUISNAHUAT-ESTE</v>
      </c>
    </row>
    <row r="31" spans="1:29" x14ac:dyDescent="0.4">
      <c r="B31" s="71" t="s">
        <v>395</v>
      </c>
      <c r="C31" s="71" t="s">
        <v>353</v>
      </c>
      <c r="D31" s="71" t="s">
        <v>354</v>
      </c>
      <c r="E31" s="71" t="s">
        <v>348</v>
      </c>
      <c r="F31" s="72">
        <v>9</v>
      </c>
      <c r="G31" s="71">
        <f>[1]DISTRITOS!A31</f>
        <v>30</v>
      </c>
      <c r="H31" s="71" t="s">
        <v>398</v>
      </c>
      <c r="J31" s="18" t="s">
        <v>399</v>
      </c>
      <c r="K31" s="1" t="s">
        <v>331</v>
      </c>
      <c r="L31" s="18" t="s">
        <v>4</v>
      </c>
      <c r="O31" s="72">
        <v>1</v>
      </c>
      <c r="T31" s="63" t="s">
        <v>351</v>
      </c>
      <c r="U31" s="63" t="s">
        <v>352</v>
      </c>
      <c r="V31" s="63" t="str">
        <f t="shared" si="0"/>
        <v>SANTA ISABEL ISHUATAN-0305-ESTE</v>
      </c>
      <c r="W31" s="64" t="str">
        <f t="shared" si="1"/>
        <v>0305-031079-001-9</v>
      </c>
      <c r="X31" s="15" t="str">
        <f t="shared" si="2"/>
        <v>SANTA ISABEL ISHUATAN ESTE</v>
      </c>
      <c r="Y31" s="1" t="str">
        <f t="shared" si="3"/>
        <v>0305-031079-001-9 SANTA ISABEL ISHUATAN ESTE</v>
      </c>
      <c r="Z31" s="1" t="str">
        <f t="shared" si="4"/>
        <v>0305 SANTA ISABEL ISHUATAN-ESTE</v>
      </c>
    </row>
    <row r="32" spans="1:29" x14ac:dyDescent="0.4">
      <c r="B32" s="71" t="s">
        <v>345</v>
      </c>
      <c r="C32" s="71" t="s">
        <v>346</v>
      </c>
      <c r="D32" s="71" t="s">
        <v>347</v>
      </c>
      <c r="E32" s="71" t="s">
        <v>348</v>
      </c>
      <c r="F32" s="72">
        <v>4</v>
      </c>
      <c r="G32" s="71">
        <f>[1]DISTRITOS!A32</f>
        <v>31</v>
      </c>
      <c r="H32" s="71" t="s">
        <v>400</v>
      </c>
      <c r="J32" s="18" t="s">
        <v>52</v>
      </c>
      <c r="K32" s="1" t="s">
        <v>331</v>
      </c>
      <c r="L32" s="18" t="s">
        <v>4</v>
      </c>
      <c r="O32" s="72">
        <v>1</v>
      </c>
      <c r="T32" s="63" t="s">
        <v>351</v>
      </c>
      <c r="U32" s="63" t="s">
        <v>352</v>
      </c>
      <c r="V32" s="63" t="str">
        <f t="shared" si="0"/>
        <v>IZALCO-0306-ESTE</v>
      </c>
      <c r="W32" s="64" t="str">
        <f t="shared" si="1"/>
        <v>0306-010611-001-4</v>
      </c>
      <c r="X32" s="15" t="str">
        <f t="shared" si="2"/>
        <v>IZALCO ESTE</v>
      </c>
      <c r="Y32" s="1" t="str">
        <f t="shared" si="3"/>
        <v>0306-010611-001-4 IZALCO ESTE</v>
      </c>
      <c r="Z32" s="1" t="str">
        <f t="shared" si="4"/>
        <v>0306 IZALCO-ESTE</v>
      </c>
    </row>
    <row r="33" spans="1:29" x14ac:dyDescent="0.4">
      <c r="A33" s="18" t="s">
        <v>356</v>
      </c>
      <c r="B33" s="71" t="s">
        <v>345</v>
      </c>
      <c r="C33" s="71" t="s">
        <v>346</v>
      </c>
      <c r="D33" s="71" t="s">
        <v>347</v>
      </c>
      <c r="E33" s="71" t="s">
        <v>348</v>
      </c>
      <c r="F33" s="72">
        <v>4</v>
      </c>
      <c r="G33" s="71">
        <f>[1]DISTRITOS!A33</f>
        <v>32</v>
      </c>
      <c r="H33" s="71" t="s">
        <v>401</v>
      </c>
      <c r="J33" s="18" t="s">
        <v>402</v>
      </c>
      <c r="K33" s="1" t="s">
        <v>332</v>
      </c>
      <c r="L33" s="18" t="s">
        <v>4</v>
      </c>
      <c r="P33" s="72">
        <v>1</v>
      </c>
      <c r="T33" s="63" t="s">
        <v>351</v>
      </c>
      <c r="U33" s="63" t="s">
        <v>352</v>
      </c>
      <c r="V33" s="63" t="str">
        <f t="shared" si="0"/>
        <v>JUAYUA-0307-NORTE</v>
      </c>
      <c r="W33" s="64" t="str">
        <f t="shared" si="1"/>
        <v>0307-010611-001-4</v>
      </c>
      <c r="X33" s="15" t="str">
        <f t="shared" si="2"/>
        <v>JUAYUA NORTE</v>
      </c>
      <c r="Y33" s="1" t="str">
        <f t="shared" si="3"/>
        <v>0307-010611-001-4 JUAYUA NORTE</v>
      </c>
      <c r="Z33" s="1" t="str">
        <f t="shared" si="4"/>
        <v>0307 JUAYUA-NORTE</v>
      </c>
      <c r="AA33" s="73">
        <v>186.91</v>
      </c>
      <c r="AB33" s="74">
        <v>89106</v>
      </c>
      <c r="AC33" s="73">
        <v>476.73</v>
      </c>
    </row>
    <row r="34" spans="1:29" x14ac:dyDescent="0.4">
      <c r="B34" s="71" t="s">
        <v>345</v>
      </c>
      <c r="C34" s="71" t="s">
        <v>346</v>
      </c>
      <c r="D34" s="71" t="s">
        <v>347</v>
      </c>
      <c r="E34" s="71" t="s">
        <v>348</v>
      </c>
      <c r="F34" s="72">
        <v>4</v>
      </c>
      <c r="G34" s="71">
        <f>[1]DISTRITOS!A34</f>
        <v>33</v>
      </c>
      <c r="H34" s="71" t="s">
        <v>403</v>
      </c>
      <c r="J34" s="18" t="s">
        <v>42</v>
      </c>
      <c r="K34" s="1" t="s">
        <v>332</v>
      </c>
      <c r="L34" s="18" t="s">
        <v>4</v>
      </c>
      <c r="P34" s="72">
        <v>1</v>
      </c>
      <c r="T34" s="63" t="s">
        <v>351</v>
      </c>
      <c r="U34" s="63" t="s">
        <v>352</v>
      </c>
      <c r="V34" s="63" t="str">
        <f t="shared" si="0"/>
        <v>NAHUIZALCO-0308-NORTE</v>
      </c>
      <c r="W34" s="64" t="str">
        <f t="shared" si="1"/>
        <v>0308-010611-001-4</v>
      </c>
      <c r="X34" s="15" t="str">
        <f t="shared" si="2"/>
        <v>NAHUIZALCO NORTE</v>
      </c>
      <c r="Y34" s="1" t="str">
        <f t="shared" si="3"/>
        <v>0308-010611-001-4 NAHUIZALCO NORTE</v>
      </c>
      <c r="Z34" s="1" t="str">
        <f t="shared" si="4"/>
        <v>0308 NAHUIZALCO-NORTE</v>
      </c>
    </row>
    <row r="35" spans="1:29" ht="32" x14ac:dyDescent="0.4">
      <c r="B35" s="71" t="s">
        <v>395</v>
      </c>
      <c r="C35" s="71" t="s">
        <v>353</v>
      </c>
      <c r="D35" s="71" t="s">
        <v>354</v>
      </c>
      <c r="E35" s="71" t="s">
        <v>348</v>
      </c>
      <c r="F35" s="72">
        <v>9</v>
      </c>
      <c r="G35" s="71">
        <f>[1]DISTRITOS!A35</f>
        <v>34</v>
      </c>
      <c r="H35" s="71" t="s">
        <v>404</v>
      </c>
      <c r="J35" s="18" t="s">
        <v>46</v>
      </c>
      <c r="K35" s="61" t="s">
        <v>329</v>
      </c>
      <c r="L35" s="18" t="s">
        <v>4</v>
      </c>
      <c r="M35" s="72">
        <v>1</v>
      </c>
      <c r="T35" s="63" t="s">
        <v>351</v>
      </c>
      <c r="U35" s="63" t="s">
        <v>352</v>
      </c>
      <c r="V35" s="63" t="str">
        <f t="shared" si="0"/>
        <v>NAHULINGO-0309-CENTRO</v>
      </c>
      <c r="W35" s="64" t="str">
        <f t="shared" si="1"/>
        <v>0309-031079-001-9</v>
      </c>
      <c r="X35" s="15" t="str">
        <f t="shared" si="2"/>
        <v>NAHULINGO CENTRO</v>
      </c>
      <c r="Y35" s="1" t="str">
        <f t="shared" si="3"/>
        <v>0309-031079-001-9 NAHULINGO CENTRO</v>
      </c>
      <c r="Z35" s="1" t="str">
        <f t="shared" si="4"/>
        <v>0309 NAHULINGO-CENTRO</v>
      </c>
    </row>
    <row r="36" spans="1:29" x14ac:dyDescent="0.4">
      <c r="B36" s="71" t="s">
        <v>395</v>
      </c>
      <c r="C36" s="71" t="s">
        <v>353</v>
      </c>
      <c r="D36" s="71" t="s">
        <v>354</v>
      </c>
      <c r="E36" s="71" t="s">
        <v>348</v>
      </c>
      <c r="F36" s="72">
        <v>0</v>
      </c>
      <c r="G36" s="71">
        <f>[1]DISTRITOS!A36</f>
        <v>35</v>
      </c>
      <c r="H36" s="71" t="s">
        <v>405</v>
      </c>
      <c r="J36" s="18" t="s">
        <v>406</v>
      </c>
      <c r="K36" s="1" t="s">
        <v>332</v>
      </c>
      <c r="L36" s="18" t="s">
        <v>4</v>
      </c>
      <c r="P36" s="72">
        <v>1</v>
      </c>
      <c r="T36" s="63" t="s">
        <v>351</v>
      </c>
      <c r="U36" s="63" t="s">
        <v>352</v>
      </c>
      <c r="V36" s="63" t="str">
        <f t="shared" si="0"/>
        <v>SALCOATITAN-0310-NORTE</v>
      </c>
      <c r="W36" s="64" t="str">
        <f t="shared" si="1"/>
        <v>0310-031079-001-0</v>
      </c>
      <c r="X36" s="15" t="str">
        <f t="shared" si="2"/>
        <v>SALCOATITAN NORTE</v>
      </c>
      <c r="Y36" s="1" t="str">
        <f t="shared" si="3"/>
        <v>0310-031079-001-0 SALCOATITAN NORTE</v>
      </c>
      <c r="Z36" s="1" t="str">
        <f t="shared" si="4"/>
        <v>0310 SALCOATITAN-NORTE</v>
      </c>
    </row>
    <row r="37" spans="1:29" ht="32" x14ac:dyDescent="0.4">
      <c r="B37" s="71" t="s">
        <v>395</v>
      </c>
      <c r="C37" s="71" t="s">
        <v>353</v>
      </c>
      <c r="D37" s="71" t="s">
        <v>354</v>
      </c>
      <c r="E37" s="71" t="s">
        <v>348</v>
      </c>
      <c r="F37" s="72">
        <v>0</v>
      </c>
      <c r="G37" s="71">
        <f>[1]DISTRITOS!A37</f>
        <v>36</v>
      </c>
      <c r="H37" s="71" t="s">
        <v>407</v>
      </c>
      <c r="J37" s="18" t="s">
        <v>47</v>
      </c>
      <c r="K37" s="61" t="s">
        <v>329</v>
      </c>
      <c r="L37" s="18" t="s">
        <v>4</v>
      </c>
      <c r="M37" s="72">
        <v>1</v>
      </c>
      <c r="T37" s="63" t="s">
        <v>351</v>
      </c>
      <c r="U37" s="63" t="s">
        <v>352</v>
      </c>
      <c r="V37" s="63" t="str">
        <f t="shared" si="0"/>
        <v>SAN ANTONIO DEL MONTE-0311-CENTRO</v>
      </c>
      <c r="W37" s="64" t="str">
        <f t="shared" si="1"/>
        <v>0311-031079-001-0</v>
      </c>
      <c r="X37" s="15" t="str">
        <f t="shared" si="2"/>
        <v>SAN ANTONIO DEL MONTE CENTRO</v>
      </c>
      <c r="Y37" s="1" t="str">
        <f t="shared" si="3"/>
        <v>0311-031079-001-0 SAN ANTONIO DEL MONTE CENTRO</v>
      </c>
      <c r="Z37" s="1" t="str">
        <f t="shared" si="4"/>
        <v>0311 SAN ANTONIO DEL MONTE-CENTRO</v>
      </c>
    </row>
    <row r="38" spans="1:29" x14ac:dyDescent="0.4">
      <c r="B38" s="71" t="s">
        <v>395</v>
      </c>
      <c r="C38" s="71" t="s">
        <v>353</v>
      </c>
      <c r="D38" s="71" t="s">
        <v>354</v>
      </c>
      <c r="E38" s="71" t="s">
        <v>348</v>
      </c>
      <c r="F38" s="72">
        <v>0</v>
      </c>
      <c r="G38" s="71">
        <f>[1]DISTRITOS!A38</f>
        <v>37</v>
      </c>
      <c r="H38" s="71" t="s">
        <v>408</v>
      </c>
      <c r="J38" s="18" t="s">
        <v>409</v>
      </c>
      <c r="K38" s="1" t="s">
        <v>331</v>
      </c>
      <c r="L38" s="18" t="s">
        <v>4</v>
      </c>
      <c r="O38" s="72">
        <v>1</v>
      </c>
      <c r="T38" s="63" t="s">
        <v>351</v>
      </c>
      <c r="U38" s="63" t="s">
        <v>352</v>
      </c>
      <c r="V38" s="63" t="str">
        <f t="shared" si="0"/>
        <v>SAN JULIAN-0312-ESTE</v>
      </c>
      <c r="W38" s="64" t="str">
        <f t="shared" si="1"/>
        <v>0312-031079-001-0</v>
      </c>
      <c r="X38" s="15" t="str">
        <f t="shared" si="2"/>
        <v>SAN JULIAN ESTE</v>
      </c>
      <c r="Y38" s="1" t="str">
        <f t="shared" si="3"/>
        <v>0312-031079-001-0 SAN JULIAN ESTE</v>
      </c>
      <c r="Z38" s="1" t="str">
        <f t="shared" si="4"/>
        <v>0312 SAN JULIAN-ESTE</v>
      </c>
    </row>
    <row r="39" spans="1:29" x14ac:dyDescent="0.4">
      <c r="B39" s="71" t="s">
        <v>395</v>
      </c>
      <c r="C39" s="71" t="s">
        <v>353</v>
      </c>
      <c r="D39" s="71" t="s">
        <v>354</v>
      </c>
      <c r="E39" s="71" t="s">
        <v>348</v>
      </c>
      <c r="F39" s="72">
        <v>0</v>
      </c>
      <c r="G39" s="71">
        <f>[1]DISTRITOS!A39</f>
        <v>38</v>
      </c>
      <c r="H39" s="71" t="s">
        <v>410</v>
      </c>
      <c r="J39" s="18" t="s">
        <v>44</v>
      </c>
      <c r="K39" s="1" t="s">
        <v>332</v>
      </c>
      <c r="L39" s="18" t="s">
        <v>4</v>
      </c>
      <c r="P39" s="72">
        <v>1</v>
      </c>
      <c r="T39" s="63" t="s">
        <v>351</v>
      </c>
      <c r="U39" s="63" t="s">
        <v>352</v>
      </c>
      <c r="V39" s="63" t="str">
        <f t="shared" si="0"/>
        <v>SANTA CATARINA MASAHUAT-0313-NORTE</v>
      </c>
      <c r="W39" s="64" t="str">
        <f t="shared" si="1"/>
        <v>0313-031079-001-0</v>
      </c>
      <c r="X39" s="15" t="str">
        <f t="shared" si="2"/>
        <v>SANTA CATARINA MASAHUAT NORTE</v>
      </c>
      <c r="Y39" s="1" t="str">
        <f t="shared" si="3"/>
        <v>0313-031079-001-0 SANTA CATARINA MASAHUAT NORTE</v>
      </c>
      <c r="Z39" s="1" t="str">
        <f t="shared" si="4"/>
        <v>0313 SANTA CATARINA MASAHUAT-NORTE</v>
      </c>
    </row>
    <row r="40" spans="1:29" ht="32" x14ac:dyDescent="0.4">
      <c r="B40" s="71" t="s">
        <v>395</v>
      </c>
      <c r="C40" s="71" t="s">
        <v>353</v>
      </c>
      <c r="D40" s="71" t="s">
        <v>354</v>
      </c>
      <c r="E40" s="71" t="s">
        <v>348</v>
      </c>
      <c r="F40" s="72">
        <v>0</v>
      </c>
      <c r="G40" s="71">
        <f>[1]DISTRITOS!A40</f>
        <v>39</v>
      </c>
      <c r="H40" s="71" t="s">
        <v>411</v>
      </c>
      <c r="J40" s="18" t="s">
        <v>412</v>
      </c>
      <c r="K40" s="61" t="s">
        <v>329</v>
      </c>
      <c r="L40" s="18" t="s">
        <v>4</v>
      </c>
      <c r="M40" s="72">
        <v>1</v>
      </c>
      <c r="T40" s="63" t="s">
        <v>351</v>
      </c>
      <c r="U40" s="63" t="s">
        <v>352</v>
      </c>
      <c r="V40" s="63" t="str">
        <f t="shared" si="0"/>
        <v>SANTO DOMINGO DE GUZMAN-0314-CENTRO</v>
      </c>
      <c r="W40" s="64" t="str">
        <f t="shared" si="1"/>
        <v>0314-031079-001-0</v>
      </c>
      <c r="X40" s="15" t="str">
        <f t="shared" si="2"/>
        <v>SANTO DOMINGO DE GUZMAN CENTRO</v>
      </c>
      <c r="Y40" s="1" t="str">
        <f t="shared" si="3"/>
        <v>0314-031079-001-0 SANTO DOMINGO DE GUZMAN CENTRO</v>
      </c>
      <c r="Z40" s="1" t="str">
        <f t="shared" si="4"/>
        <v>0314 SANTO DOMINGO DE GUZMAN-CENTRO</v>
      </c>
    </row>
    <row r="41" spans="1:29" ht="32" x14ac:dyDescent="0.4">
      <c r="A41" s="18" t="s">
        <v>344</v>
      </c>
      <c r="B41" s="71" t="s">
        <v>345</v>
      </c>
      <c r="C41" s="71" t="s">
        <v>346</v>
      </c>
      <c r="D41" s="71" t="s">
        <v>347</v>
      </c>
      <c r="E41" s="71" t="s">
        <v>348</v>
      </c>
      <c r="F41" s="72">
        <v>5</v>
      </c>
      <c r="G41" s="71">
        <f>[1]DISTRITOS!A41</f>
        <v>40</v>
      </c>
      <c r="H41" s="71" t="s">
        <v>413</v>
      </c>
      <c r="I41" s="1">
        <f>[2]DEPARTAMENTOS!A4</f>
        <v>3</v>
      </c>
      <c r="J41" s="18" t="s">
        <v>4</v>
      </c>
      <c r="K41" s="61" t="s">
        <v>329</v>
      </c>
      <c r="L41" s="73" t="s">
        <v>4</v>
      </c>
      <c r="M41" s="72">
        <v>1</v>
      </c>
      <c r="T41" s="63" t="s">
        <v>351</v>
      </c>
      <c r="U41" s="63" t="s">
        <v>352</v>
      </c>
      <c r="V41" s="63" t="str">
        <f t="shared" si="0"/>
        <v>SONSONATE-0315-CENTRO</v>
      </c>
      <c r="W41" s="64" t="str">
        <f t="shared" si="1"/>
        <v>0315-010611-001-5</v>
      </c>
      <c r="X41" s="15" t="str">
        <f t="shared" si="2"/>
        <v>SONSONATE CENTRO</v>
      </c>
      <c r="Y41" s="1" t="str">
        <f t="shared" si="3"/>
        <v>0315-010611-001-5 SONSONATE CENTRO</v>
      </c>
      <c r="Z41" s="1" t="str">
        <f t="shared" si="4"/>
        <v>0315 SONSONATE-CENTRO</v>
      </c>
      <c r="AA41" s="73">
        <v>329.38</v>
      </c>
      <c r="AB41" s="74">
        <v>140920</v>
      </c>
      <c r="AC41" s="73">
        <v>427.83</v>
      </c>
    </row>
    <row r="42" spans="1:29" ht="32" x14ac:dyDescent="0.4">
      <c r="B42" s="71" t="s">
        <v>395</v>
      </c>
      <c r="C42" s="71" t="s">
        <v>353</v>
      </c>
      <c r="D42" s="71" t="s">
        <v>354</v>
      </c>
      <c r="E42" s="71" t="s">
        <v>348</v>
      </c>
      <c r="F42" s="72">
        <v>0</v>
      </c>
      <c r="G42" s="71">
        <f>[1]DISTRITOS!A42</f>
        <v>41</v>
      </c>
      <c r="H42" s="71" t="s">
        <v>414</v>
      </c>
      <c r="J42" s="18" t="s">
        <v>45</v>
      </c>
      <c r="K42" s="61" t="s">
        <v>329</v>
      </c>
      <c r="L42" s="18" t="s">
        <v>4</v>
      </c>
      <c r="M42" s="72">
        <v>1</v>
      </c>
      <c r="T42" s="63" t="s">
        <v>351</v>
      </c>
      <c r="U42" s="63" t="s">
        <v>352</v>
      </c>
      <c r="V42" s="63" t="str">
        <f t="shared" si="0"/>
        <v>SONZACATE-0316-CENTRO</v>
      </c>
      <c r="W42" s="64" t="str">
        <f t="shared" si="1"/>
        <v>0316-031079-001-0</v>
      </c>
      <c r="X42" s="15" t="str">
        <f t="shared" si="2"/>
        <v>SONZACATE CENTRO</v>
      </c>
      <c r="Y42" s="1" t="str">
        <f t="shared" si="3"/>
        <v>0316-031079-001-0 SONZACATE CENTRO</v>
      </c>
      <c r="Z42" s="1" t="str">
        <f t="shared" si="4"/>
        <v>0316 SONZACATE-CENTRO</v>
      </c>
    </row>
    <row r="43" spans="1:29" ht="32" x14ac:dyDescent="0.4">
      <c r="A43" s="17" t="s">
        <v>344</v>
      </c>
      <c r="B43" s="75" t="s">
        <v>415</v>
      </c>
      <c r="C43" s="75" t="s">
        <v>353</v>
      </c>
      <c r="D43" s="75" t="s">
        <v>354</v>
      </c>
      <c r="E43" s="75" t="s">
        <v>348</v>
      </c>
      <c r="F43" s="76">
        <v>9</v>
      </c>
      <c r="G43" s="75">
        <f>[1]DISTRITOS!A43</f>
        <v>42</v>
      </c>
      <c r="H43" s="75" t="s">
        <v>416</v>
      </c>
      <c r="I43" s="17"/>
      <c r="J43" s="17" t="s">
        <v>59</v>
      </c>
      <c r="K43" s="61" t="s">
        <v>329</v>
      </c>
      <c r="L43" s="17" t="s">
        <v>5</v>
      </c>
      <c r="M43" s="76">
        <v>1</v>
      </c>
      <c r="N43" s="76"/>
      <c r="O43" s="76"/>
      <c r="P43" s="76"/>
      <c r="Q43" s="76"/>
      <c r="R43" s="76"/>
      <c r="S43" s="17"/>
      <c r="T43" s="63" t="s">
        <v>351</v>
      </c>
      <c r="U43" s="63" t="s">
        <v>352</v>
      </c>
      <c r="V43" s="63" t="str">
        <f t="shared" si="0"/>
        <v>AGUA CALIENTE-0401-CENTRO</v>
      </c>
      <c r="W43" s="64" t="str">
        <f t="shared" si="1"/>
        <v>0401-041079-001-9</v>
      </c>
      <c r="X43" s="15" t="str">
        <f t="shared" si="2"/>
        <v>AGUA CALIENTE CENTRO</v>
      </c>
      <c r="Y43" s="1" t="str">
        <f t="shared" si="3"/>
        <v>0401-041079-001-9 AGUA CALIENTE CENTRO</v>
      </c>
      <c r="Z43" s="1" t="str">
        <f t="shared" si="4"/>
        <v>0401 AGUA CALIENTE-CENTRO</v>
      </c>
      <c r="AA43" s="77">
        <v>1018.45</v>
      </c>
      <c r="AB43" s="78">
        <v>100658</v>
      </c>
      <c r="AC43" s="79">
        <v>98.83</v>
      </c>
    </row>
    <row r="44" spans="1:29" x14ac:dyDescent="0.4">
      <c r="A44" s="17" t="s">
        <v>361</v>
      </c>
      <c r="B44" s="75" t="s">
        <v>415</v>
      </c>
      <c r="C44" s="75" t="s">
        <v>353</v>
      </c>
      <c r="D44" s="75" t="s">
        <v>354</v>
      </c>
      <c r="E44" s="75" t="s">
        <v>348</v>
      </c>
      <c r="F44" s="76">
        <v>9</v>
      </c>
      <c r="G44" s="75">
        <f>[1]DISTRITOS!A44</f>
        <v>43</v>
      </c>
      <c r="H44" s="75" t="s">
        <v>417</v>
      </c>
      <c r="J44" s="17" t="s">
        <v>69</v>
      </c>
      <c r="K44" s="1" t="s">
        <v>334</v>
      </c>
      <c r="L44" s="17" t="s">
        <v>5</v>
      </c>
      <c r="R44" s="76">
        <v>1</v>
      </c>
      <c r="T44" s="63" t="s">
        <v>351</v>
      </c>
      <c r="U44" s="63" t="s">
        <v>352</v>
      </c>
      <c r="V44" s="63" t="str">
        <f t="shared" si="0"/>
        <v>ARCATAO-0402-SUR</v>
      </c>
      <c r="W44" s="64" t="str">
        <f t="shared" si="1"/>
        <v>0402-041079-001-9</v>
      </c>
      <c r="X44" s="15" t="str">
        <f t="shared" si="2"/>
        <v>ARCATAO SUR</v>
      </c>
      <c r="Y44" s="1" t="str">
        <f t="shared" si="3"/>
        <v>0402-041079-001-9 ARCATAO SUR</v>
      </c>
      <c r="Z44" s="1" t="str">
        <f t="shared" si="4"/>
        <v>0402 ARCATAO-SUR</v>
      </c>
      <c r="AA44" s="79">
        <v>713.99</v>
      </c>
      <c r="AB44" s="78">
        <v>74809</v>
      </c>
      <c r="AC44" s="79">
        <v>104.78</v>
      </c>
    </row>
    <row r="45" spans="1:29" x14ac:dyDescent="0.4">
      <c r="B45" s="75" t="s">
        <v>415</v>
      </c>
      <c r="C45" s="75" t="s">
        <v>353</v>
      </c>
      <c r="D45" s="75" t="s">
        <v>354</v>
      </c>
      <c r="E45" s="75" t="s">
        <v>348</v>
      </c>
      <c r="F45" s="76">
        <v>9</v>
      </c>
      <c r="G45" s="75">
        <f>[1]DISTRITOS!A45</f>
        <v>44</v>
      </c>
      <c r="H45" s="75" t="s">
        <v>418</v>
      </c>
      <c r="J45" s="17" t="s">
        <v>70</v>
      </c>
      <c r="K45" s="1" t="s">
        <v>334</v>
      </c>
      <c r="L45" s="17" t="s">
        <v>5</v>
      </c>
      <c r="R45" s="76">
        <v>1</v>
      </c>
      <c r="T45" s="63" t="s">
        <v>351</v>
      </c>
      <c r="U45" s="63" t="s">
        <v>352</v>
      </c>
      <c r="V45" s="63" t="str">
        <f t="shared" si="0"/>
        <v>AZACUALPA-0403-SUR</v>
      </c>
      <c r="W45" s="64" t="str">
        <f t="shared" si="1"/>
        <v>0403-041079-001-9</v>
      </c>
      <c r="X45" s="15" t="str">
        <f t="shared" si="2"/>
        <v>AZACUALPA SUR</v>
      </c>
      <c r="Y45" s="1" t="str">
        <f t="shared" si="3"/>
        <v>0403-041079-001-9 AZACUALPA SUR</v>
      </c>
      <c r="Z45" s="1" t="str">
        <f t="shared" si="4"/>
        <v>0403 AZACUALPA-SUR</v>
      </c>
    </row>
    <row r="46" spans="1:29" x14ac:dyDescent="0.4">
      <c r="A46" s="17" t="s">
        <v>356</v>
      </c>
      <c r="B46" s="75" t="s">
        <v>415</v>
      </c>
      <c r="C46" s="75" t="s">
        <v>353</v>
      </c>
      <c r="D46" s="75" t="s">
        <v>354</v>
      </c>
      <c r="E46" s="75" t="s">
        <v>348</v>
      </c>
      <c r="F46" s="76">
        <v>9</v>
      </c>
      <c r="G46" s="75">
        <f>[1]DISTRITOS!A46</f>
        <v>45</v>
      </c>
      <c r="H46" s="75" t="s">
        <v>419</v>
      </c>
      <c r="J46" s="17" t="s">
        <v>420</v>
      </c>
      <c r="K46" s="1" t="s">
        <v>332</v>
      </c>
      <c r="L46" s="17" t="s">
        <v>5</v>
      </c>
      <c r="P46" s="76">
        <v>1</v>
      </c>
      <c r="T46" s="63" t="s">
        <v>351</v>
      </c>
      <c r="U46" s="63" t="s">
        <v>352</v>
      </c>
      <c r="V46" s="63" t="str">
        <f t="shared" si="0"/>
        <v>CITALA-0404-NORTE</v>
      </c>
      <c r="W46" s="64" t="str">
        <f t="shared" si="1"/>
        <v>0404-041079-001-9</v>
      </c>
      <c r="X46" s="15" t="str">
        <f t="shared" si="2"/>
        <v>CITALA NORTE</v>
      </c>
      <c r="Y46" s="1" t="str">
        <f t="shared" si="3"/>
        <v>0404-041079-001-9 CITALA NORTE</v>
      </c>
      <c r="Z46" s="1" t="str">
        <f t="shared" si="4"/>
        <v>0404 CITALA-NORTE</v>
      </c>
      <c r="AA46" s="79">
        <v>284.11</v>
      </c>
      <c r="AB46" s="78">
        <v>54881</v>
      </c>
      <c r="AC46" s="79">
        <v>193.17</v>
      </c>
    </row>
    <row r="47" spans="1:29" x14ac:dyDescent="0.4">
      <c r="B47" s="75" t="s">
        <v>415</v>
      </c>
      <c r="C47" s="75" t="s">
        <v>353</v>
      </c>
      <c r="D47" s="75" t="s">
        <v>354</v>
      </c>
      <c r="E47" s="75" t="s">
        <v>348</v>
      </c>
      <c r="F47" s="76">
        <v>9</v>
      </c>
      <c r="G47" s="75">
        <f>[1]DISTRITOS!A47</f>
        <v>46</v>
      </c>
      <c r="H47" s="75" t="s">
        <v>421</v>
      </c>
      <c r="J47" s="17" t="s">
        <v>72</v>
      </c>
      <c r="K47" s="1" t="s">
        <v>334</v>
      </c>
      <c r="L47" s="17" t="s">
        <v>5</v>
      </c>
      <c r="R47" s="76">
        <v>1</v>
      </c>
      <c r="T47" s="63" t="s">
        <v>351</v>
      </c>
      <c r="U47" s="63" t="s">
        <v>352</v>
      </c>
      <c r="V47" s="63" t="str">
        <f t="shared" si="0"/>
        <v>COMALAPA-0405-SUR</v>
      </c>
      <c r="W47" s="64" t="str">
        <f t="shared" si="1"/>
        <v>0405-041079-001-9</v>
      </c>
      <c r="X47" s="15" t="str">
        <f t="shared" si="2"/>
        <v>COMALAPA SUR</v>
      </c>
      <c r="Y47" s="1" t="str">
        <f t="shared" si="3"/>
        <v>0405-041079-001-9 COMALAPA SUR</v>
      </c>
      <c r="Z47" s="1" t="str">
        <f t="shared" si="4"/>
        <v>0405 COMALAPA-SUR</v>
      </c>
    </row>
    <row r="48" spans="1:29" x14ac:dyDescent="0.4">
      <c r="B48" s="75" t="s">
        <v>415</v>
      </c>
      <c r="C48" s="75" t="s">
        <v>353</v>
      </c>
      <c r="D48" s="75" t="s">
        <v>354</v>
      </c>
      <c r="E48" s="75" t="s">
        <v>348</v>
      </c>
      <c r="F48" s="76">
        <v>9</v>
      </c>
      <c r="G48" s="75">
        <f>[1]DISTRITOS!A48</f>
        <v>47</v>
      </c>
      <c r="H48" s="75" t="s">
        <v>422</v>
      </c>
      <c r="J48" s="17" t="s">
        <v>423</v>
      </c>
      <c r="K48" s="1" t="s">
        <v>334</v>
      </c>
      <c r="L48" s="17" t="s">
        <v>5</v>
      </c>
      <c r="R48" s="76">
        <v>1</v>
      </c>
      <c r="T48" s="63" t="s">
        <v>351</v>
      </c>
      <c r="U48" s="63" t="s">
        <v>352</v>
      </c>
      <c r="V48" s="63" t="str">
        <f t="shared" si="0"/>
        <v>CONCEPCION QUEZALTEPEQUE -0406-SUR</v>
      </c>
      <c r="W48" s="64" t="str">
        <f t="shared" si="1"/>
        <v>0406-041079-001-9</v>
      </c>
      <c r="X48" s="15" t="str">
        <f t="shared" si="2"/>
        <v>CONCEPCION QUEZALTEPEQUE  SUR</v>
      </c>
      <c r="Y48" s="1" t="str">
        <f t="shared" si="3"/>
        <v>0406-041079-001-9 CONCEPCION QUEZALTEPEQUE  SUR</v>
      </c>
      <c r="Z48" s="1" t="str">
        <f t="shared" si="4"/>
        <v>0406 CONCEPCION QUEZALTEPEQUE -SUR</v>
      </c>
    </row>
    <row r="49" spans="2:26" x14ac:dyDescent="0.4">
      <c r="B49" s="75" t="s">
        <v>345</v>
      </c>
      <c r="C49" s="75" t="s">
        <v>346</v>
      </c>
      <c r="D49" s="75" t="s">
        <v>347</v>
      </c>
      <c r="E49" s="75" t="s">
        <v>348</v>
      </c>
      <c r="F49" s="76">
        <v>6</v>
      </c>
      <c r="G49" s="75">
        <f>[1]DISTRITOS!A49</f>
        <v>48</v>
      </c>
      <c r="H49" s="75" t="s">
        <v>424</v>
      </c>
      <c r="I49" s="1">
        <f>[2]DEPARTAMENTOS!A5</f>
        <v>4</v>
      </c>
      <c r="J49" s="17" t="s">
        <v>5</v>
      </c>
      <c r="K49" s="1" t="s">
        <v>334</v>
      </c>
      <c r="L49" s="17" t="s">
        <v>5</v>
      </c>
      <c r="R49" s="76">
        <v>1</v>
      </c>
      <c r="T49" s="63" t="s">
        <v>351</v>
      </c>
      <c r="U49" s="63" t="s">
        <v>352</v>
      </c>
      <c r="V49" s="63" t="str">
        <f t="shared" si="0"/>
        <v>CHALATENANGO-0407-SUR</v>
      </c>
      <c r="W49" s="64" t="str">
        <f t="shared" si="1"/>
        <v>0407-010611-001-6</v>
      </c>
      <c r="X49" s="15" t="str">
        <f t="shared" si="2"/>
        <v>CHALATENANGO SUR</v>
      </c>
      <c r="Y49" s="1" t="str">
        <f t="shared" si="3"/>
        <v>0407-010611-001-6 CHALATENANGO SUR</v>
      </c>
      <c r="Z49" s="1" t="str">
        <f t="shared" si="4"/>
        <v>0407 CHALATENANGO-SUR</v>
      </c>
    </row>
    <row r="50" spans="2:26" ht="32" x14ac:dyDescent="0.4">
      <c r="B50" s="75" t="s">
        <v>415</v>
      </c>
      <c r="C50" s="75" t="s">
        <v>353</v>
      </c>
      <c r="D50" s="75" t="s">
        <v>354</v>
      </c>
      <c r="E50" s="75" t="s">
        <v>348</v>
      </c>
      <c r="F50" s="76">
        <v>9</v>
      </c>
      <c r="G50" s="75">
        <f>[1]DISTRITOS!A50</f>
        <v>49</v>
      </c>
      <c r="H50" s="75" t="s">
        <v>425</v>
      </c>
      <c r="J50" s="17" t="s">
        <v>426</v>
      </c>
      <c r="K50" s="61" t="s">
        <v>329</v>
      </c>
      <c r="L50" s="17" t="s">
        <v>5</v>
      </c>
      <c r="M50" s="76">
        <v>1</v>
      </c>
      <c r="T50" s="63" t="s">
        <v>351</v>
      </c>
      <c r="U50" s="63" t="s">
        <v>352</v>
      </c>
      <c r="V50" s="63" t="str">
        <f t="shared" si="0"/>
        <v>DULCE NOMBRE DE MARIA-0408-CENTRO</v>
      </c>
      <c r="W50" s="64" t="str">
        <f t="shared" si="1"/>
        <v>0408-041079-001-9</v>
      </c>
      <c r="X50" s="15" t="str">
        <f t="shared" si="2"/>
        <v>DULCE NOMBRE DE MARIA CENTRO</v>
      </c>
      <c r="Y50" s="1" t="str">
        <f t="shared" si="3"/>
        <v>0408-041079-001-9 DULCE NOMBRE DE MARIA CENTRO</v>
      </c>
      <c r="Z50" s="1" t="str">
        <f t="shared" si="4"/>
        <v>0408 DULCE NOMBRE DE MARIA-CENTRO</v>
      </c>
    </row>
    <row r="51" spans="2:26" x14ac:dyDescent="0.4">
      <c r="B51" s="75" t="s">
        <v>415</v>
      </c>
      <c r="C51" s="75" t="s">
        <v>353</v>
      </c>
      <c r="D51" s="75" t="s">
        <v>354</v>
      </c>
      <c r="E51" s="75" t="s">
        <v>348</v>
      </c>
      <c r="F51" s="76">
        <v>9</v>
      </c>
      <c r="G51" s="75">
        <f>[1]DISTRITOS!A51</f>
        <v>50</v>
      </c>
      <c r="H51" s="75" t="s">
        <v>427</v>
      </c>
      <c r="J51" s="17" t="s">
        <v>74</v>
      </c>
      <c r="K51" s="1" t="s">
        <v>334</v>
      </c>
      <c r="L51" s="17" t="s">
        <v>5</v>
      </c>
      <c r="R51" s="76">
        <v>1</v>
      </c>
      <c r="T51" s="63" t="s">
        <v>351</v>
      </c>
      <c r="U51" s="63" t="s">
        <v>352</v>
      </c>
      <c r="V51" s="63" t="str">
        <f t="shared" si="0"/>
        <v>EL CARRIZAL-0409-SUR</v>
      </c>
      <c r="W51" s="64" t="str">
        <f t="shared" si="1"/>
        <v>0409-041079-001-9</v>
      </c>
      <c r="X51" s="15" t="str">
        <f t="shared" si="2"/>
        <v>EL CARRIZAL SUR</v>
      </c>
      <c r="Y51" s="1" t="str">
        <f t="shared" si="3"/>
        <v>0409-041079-001-9 EL CARRIZAL SUR</v>
      </c>
      <c r="Z51" s="1" t="str">
        <f t="shared" si="4"/>
        <v>0409 EL CARRIZAL-SUR</v>
      </c>
    </row>
    <row r="52" spans="2:26" ht="32" x14ac:dyDescent="0.4">
      <c r="B52" s="75" t="s">
        <v>415</v>
      </c>
      <c r="C52" s="75" t="s">
        <v>353</v>
      </c>
      <c r="D52" s="75" t="s">
        <v>354</v>
      </c>
      <c r="E52" s="75" t="s">
        <v>348</v>
      </c>
      <c r="F52" s="76">
        <v>0</v>
      </c>
      <c r="G52" s="75">
        <f>[1]DISTRITOS!A52</f>
        <v>51</v>
      </c>
      <c r="H52" s="75" t="s">
        <v>428</v>
      </c>
      <c r="J52" s="17" t="s">
        <v>429</v>
      </c>
      <c r="K52" s="61" t="s">
        <v>329</v>
      </c>
      <c r="L52" s="17" t="s">
        <v>5</v>
      </c>
      <c r="M52" s="76">
        <v>1</v>
      </c>
      <c r="T52" s="63" t="s">
        <v>351</v>
      </c>
      <c r="U52" s="63" t="s">
        <v>352</v>
      </c>
      <c r="V52" s="63" t="str">
        <f t="shared" si="0"/>
        <v>EL PARAISO-0410-CENTRO</v>
      </c>
      <c r="W52" s="64" t="str">
        <f t="shared" si="1"/>
        <v>0410-041079-001-0</v>
      </c>
      <c r="X52" s="15" t="str">
        <f t="shared" si="2"/>
        <v>EL PARAISO CENTRO</v>
      </c>
      <c r="Y52" s="1" t="str">
        <f t="shared" si="3"/>
        <v>0410-041079-001-0 EL PARAISO CENTRO</v>
      </c>
      <c r="Z52" s="1" t="str">
        <f t="shared" si="4"/>
        <v>0410 EL PARAISO-CENTRO</v>
      </c>
    </row>
    <row r="53" spans="2:26" x14ac:dyDescent="0.4">
      <c r="B53" s="75" t="s">
        <v>415</v>
      </c>
      <c r="C53" s="75" t="s">
        <v>353</v>
      </c>
      <c r="D53" s="75" t="s">
        <v>354</v>
      </c>
      <c r="E53" s="75" t="s">
        <v>348</v>
      </c>
      <c r="F53" s="76">
        <v>0</v>
      </c>
      <c r="G53" s="75">
        <f>[1]DISTRITOS!A53</f>
        <v>52</v>
      </c>
      <c r="H53" s="75" t="s">
        <v>430</v>
      </c>
      <c r="J53" s="17" t="s">
        <v>75</v>
      </c>
      <c r="K53" s="1" t="s">
        <v>334</v>
      </c>
      <c r="L53" s="17" t="s">
        <v>5</v>
      </c>
      <c r="R53" s="76">
        <v>1</v>
      </c>
      <c r="T53" s="63" t="s">
        <v>351</v>
      </c>
      <c r="U53" s="63" t="s">
        <v>352</v>
      </c>
      <c r="V53" s="63" t="str">
        <f t="shared" si="0"/>
        <v>LA LAGUNA-0411-SUR</v>
      </c>
      <c r="W53" s="64" t="str">
        <f t="shared" si="1"/>
        <v>0411-041079-001-0</v>
      </c>
      <c r="X53" s="15" t="str">
        <f t="shared" si="2"/>
        <v>LA LAGUNA SUR</v>
      </c>
      <c r="Y53" s="1" t="str">
        <f t="shared" si="3"/>
        <v>0411-041079-001-0 LA LAGUNA SUR</v>
      </c>
      <c r="Z53" s="1" t="str">
        <f t="shared" si="4"/>
        <v>0411 LA LAGUNA-SUR</v>
      </c>
    </row>
    <row r="54" spans="2:26" x14ac:dyDescent="0.4">
      <c r="B54" s="75" t="s">
        <v>415</v>
      </c>
      <c r="C54" s="75" t="s">
        <v>353</v>
      </c>
      <c r="D54" s="75" t="s">
        <v>354</v>
      </c>
      <c r="E54" s="75" t="s">
        <v>348</v>
      </c>
      <c r="F54" s="76">
        <v>0</v>
      </c>
      <c r="G54" s="75">
        <f>[1]DISTRITOS!A54</f>
        <v>53</v>
      </c>
      <c r="H54" s="75" t="s">
        <v>431</v>
      </c>
      <c r="J54" s="17" t="s">
        <v>57</v>
      </c>
      <c r="K54" s="1" t="s">
        <v>332</v>
      </c>
      <c r="L54" s="17" t="s">
        <v>5</v>
      </c>
      <c r="P54" s="76">
        <v>1</v>
      </c>
      <c r="T54" s="63" t="s">
        <v>351</v>
      </c>
      <c r="U54" s="63" t="s">
        <v>352</v>
      </c>
      <c r="V54" s="63" t="str">
        <f t="shared" si="0"/>
        <v>LA PALMA-0412-NORTE</v>
      </c>
      <c r="W54" s="64" t="str">
        <f t="shared" si="1"/>
        <v>0412-041079-001-0</v>
      </c>
      <c r="X54" s="15" t="str">
        <f t="shared" si="2"/>
        <v>LA PALMA NORTE</v>
      </c>
      <c r="Y54" s="1" t="str">
        <f t="shared" si="3"/>
        <v>0412-041079-001-0 LA PALMA NORTE</v>
      </c>
      <c r="Z54" s="1" t="str">
        <f t="shared" si="4"/>
        <v>0412 LA PALMA-NORTE</v>
      </c>
    </row>
    <row r="55" spans="2:26" ht="32" x14ac:dyDescent="0.4">
      <c r="B55" s="75" t="s">
        <v>432</v>
      </c>
      <c r="C55" s="75" t="s">
        <v>346</v>
      </c>
      <c r="D55" s="75" t="s">
        <v>433</v>
      </c>
      <c r="E55" s="75" t="s">
        <v>348</v>
      </c>
      <c r="F55" s="76">
        <v>8</v>
      </c>
      <c r="G55" s="75">
        <f>[1]DISTRITOS!A55</f>
        <v>54</v>
      </c>
      <c r="H55" s="75" t="s">
        <v>434</v>
      </c>
      <c r="J55" s="17" t="s">
        <v>62</v>
      </c>
      <c r="K55" s="61" t="s">
        <v>329</v>
      </c>
      <c r="L55" s="17" t="s">
        <v>5</v>
      </c>
      <c r="M55" s="76">
        <v>1</v>
      </c>
      <c r="T55" s="63" t="s">
        <v>351</v>
      </c>
      <c r="U55" s="63" t="s">
        <v>352</v>
      </c>
      <c r="V55" s="63" t="str">
        <f t="shared" si="0"/>
        <v>LA REINA-0413-CENTRO</v>
      </c>
      <c r="W55" s="64" t="str">
        <f t="shared" si="1"/>
        <v>0413-240630-001-8</v>
      </c>
      <c r="X55" s="15" t="str">
        <f t="shared" si="2"/>
        <v>LA REINA CENTRO</v>
      </c>
      <c r="Y55" s="1" t="str">
        <f t="shared" si="3"/>
        <v>0413-240630-001-8 LA REINA CENTRO</v>
      </c>
      <c r="Z55" s="1" t="str">
        <f t="shared" si="4"/>
        <v>0413 LA REINA-CENTRO</v>
      </c>
    </row>
    <row r="56" spans="2:26" x14ac:dyDescent="0.4">
      <c r="B56" s="75" t="s">
        <v>415</v>
      </c>
      <c r="C56" s="75" t="s">
        <v>353</v>
      </c>
      <c r="D56" s="75" t="s">
        <v>354</v>
      </c>
      <c r="E56" s="75" t="s">
        <v>348</v>
      </c>
      <c r="F56" s="76">
        <v>0</v>
      </c>
      <c r="G56" s="75">
        <f>[1]DISTRITOS!A56</f>
        <v>55</v>
      </c>
      <c r="H56" s="75" t="s">
        <v>435</v>
      </c>
      <c r="J56" s="17" t="s">
        <v>76</v>
      </c>
      <c r="K56" s="1" t="s">
        <v>334</v>
      </c>
      <c r="L56" s="17" t="s">
        <v>5</v>
      </c>
      <c r="R56" s="76">
        <v>1</v>
      </c>
      <c r="T56" s="63" t="s">
        <v>351</v>
      </c>
      <c r="U56" s="63" t="s">
        <v>352</v>
      </c>
      <c r="V56" s="63" t="str">
        <f t="shared" si="0"/>
        <v>LAS VUELTAS-0414-SUR</v>
      </c>
      <c r="W56" s="64" t="str">
        <f t="shared" si="1"/>
        <v>0414-041079-001-0</v>
      </c>
      <c r="X56" s="15" t="str">
        <f t="shared" si="2"/>
        <v>LAS VUELTAS SUR</v>
      </c>
      <c r="Y56" s="1" t="str">
        <f t="shared" si="3"/>
        <v>0414-041079-001-0 LAS VUELTAS SUR</v>
      </c>
      <c r="Z56" s="1" t="str">
        <f t="shared" si="4"/>
        <v>0414 LAS VUELTAS-SUR</v>
      </c>
    </row>
    <row r="57" spans="2:26" x14ac:dyDescent="0.4">
      <c r="B57" s="75" t="s">
        <v>415</v>
      </c>
      <c r="C57" s="75" t="s">
        <v>353</v>
      </c>
      <c r="D57" s="75" t="s">
        <v>354</v>
      </c>
      <c r="E57" s="75" t="s">
        <v>348</v>
      </c>
      <c r="F57" s="76">
        <v>0</v>
      </c>
      <c r="G57" s="75">
        <f>[1]DISTRITOS!A57</f>
        <v>56</v>
      </c>
      <c r="H57" s="75" t="s">
        <v>436</v>
      </c>
      <c r="J57" s="17" t="s">
        <v>437</v>
      </c>
      <c r="K57" s="1" t="s">
        <v>334</v>
      </c>
      <c r="L57" s="17" t="s">
        <v>5</v>
      </c>
      <c r="R57" s="76">
        <v>1</v>
      </c>
      <c r="T57" s="63" t="s">
        <v>351</v>
      </c>
      <c r="U57" s="63" t="s">
        <v>352</v>
      </c>
      <c r="V57" s="63" t="str">
        <f t="shared" si="0"/>
        <v>NOMBRE DE JESUS-0415-SUR</v>
      </c>
      <c r="W57" s="64" t="str">
        <f t="shared" si="1"/>
        <v>0415-041079-001-0</v>
      </c>
      <c r="X57" s="15" t="str">
        <f t="shared" si="2"/>
        <v>NOMBRE DE JESUS SUR</v>
      </c>
      <c r="Y57" s="1" t="str">
        <f t="shared" si="3"/>
        <v>0415-041079-001-0 NOMBRE DE JESUS SUR</v>
      </c>
      <c r="Z57" s="1" t="str">
        <f t="shared" si="4"/>
        <v>0415 NOMBRE DE JESUS-SUR</v>
      </c>
    </row>
    <row r="58" spans="2:26" ht="32" x14ac:dyDescent="0.4">
      <c r="B58" s="75" t="s">
        <v>415</v>
      </c>
      <c r="C58" s="75" t="s">
        <v>353</v>
      </c>
      <c r="D58" s="75" t="s">
        <v>354</v>
      </c>
      <c r="E58" s="75" t="s">
        <v>348</v>
      </c>
      <c r="F58" s="76">
        <v>0</v>
      </c>
      <c r="G58" s="75">
        <f>[1]DISTRITOS!A58</f>
        <v>57</v>
      </c>
      <c r="H58" s="75" t="s">
        <v>438</v>
      </c>
      <c r="J58" s="17" t="s">
        <v>439</v>
      </c>
      <c r="K58" s="61" t="s">
        <v>329</v>
      </c>
      <c r="L58" s="17" t="s">
        <v>5</v>
      </c>
      <c r="M58" s="76">
        <v>1</v>
      </c>
      <c r="T58" s="63" t="s">
        <v>351</v>
      </c>
      <c r="U58" s="63" t="s">
        <v>352</v>
      </c>
      <c r="V58" s="63" t="str">
        <f t="shared" si="0"/>
        <v>NUEVA CONCEPCION-0416-CENTRO</v>
      </c>
      <c r="W58" s="64" t="str">
        <f t="shared" si="1"/>
        <v>0416-041079-001-0</v>
      </c>
      <c r="X58" s="15" t="str">
        <f t="shared" si="2"/>
        <v>NUEVA CONCEPCION CENTRO</v>
      </c>
      <c r="Y58" s="1" t="str">
        <f t="shared" si="3"/>
        <v>0416-041079-001-0 NUEVA CONCEPCION CENTRO</v>
      </c>
      <c r="Z58" s="1" t="str">
        <f t="shared" si="4"/>
        <v>0416 NUEVA CONCEPCION-CENTRO</v>
      </c>
    </row>
    <row r="59" spans="2:26" x14ac:dyDescent="0.4">
      <c r="B59" s="75" t="s">
        <v>415</v>
      </c>
      <c r="C59" s="75" t="s">
        <v>353</v>
      </c>
      <c r="D59" s="75" t="s">
        <v>354</v>
      </c>
      <c r="E59" s="75" t="s">
        <v>348</v>
      </c>
      <c r="F59" s="76">
        <v>0</v>
      </c>
      <c r="G59" s="75">
        <f>[1]DISTRITOS!A59</f>
        <v>58</v>
      </c>
      <c r="H59" s="75" t="s">
        <v>440</v>
      </c>
      <c r="J59" s="17" t="s">
        <v>79</v>
      </c>
      <c r="K59" s="1" t="s">
        <v>334</v>
      </c>
      <c r="L59" s="17" t="s">
        <v>5</v>
      </c>
      <c r="R59" s="76">
        <v>1</v>
      </c>
      <c r="T59" s="63" t="s">
        <v>351</v>
      </c>
      <c r="U59" s="63" t="s">
        <v>352</v>
      </c>
      <c r="V59" s="63" t="str">
        <f t="shared" si="0"/>
        <v>NUEVA TRINIDAD-0417-SUR</v>
      </c>
      <c r="W59" s="64" t="str">
        <f t="shared" si="1"/>
        <v>0417-041079-001-0</v>
      </c>
      <c r="X59" s="15" t="str">
        <f t="shared" si="2"/>
        <v>NUEVA TRINIDAD SUR</v>
      </c>
      <c r="Y59" s="1" t="str">
        <f t="shared" si="3"/>
        <v>0417-041079-001-0 NUEVA TRINIDAD SUR</v>
      </c>
      <c r="Z59" s="1" t="str">
        <f t="shared" si="4"/>
        <v>0417 NUEVA TRINIDAD-SUR</v>
      </c>
    </row>
    <row r="60" spans="2:26" x14ac:dyDescent="0.4">
      <c r="B60" s="75" t="s">
        <v>415</v>
      </c>
      <c r="C60" s="75" t="s">
        <v>353</v>
      </c>
      <c r="D60" s="75" t="s">
        <v>354</v>
      </c>
      <c r="E60" s="75" t="s">
        <v>348</v>
      </c>
      <c r="F60" s="76">
        <v>0</v>
      </c>
      <c r="G60" s="75">
        <f>[1]DISTRITOS!A60</f>
        <v>59</v>
      </c>
      <c r="H60" s="75" t="s">
        <v>441</v>
      </c>
      <c r="J60" s="17" t="s">
        <v>80</v>
      </c>
      <c r="K60" s="1" t="s">
        <v>334</v>
      </c>
      <c r="L60" s="17" t="s">
        <v>5</v>
      </c>
      <c r="R60" s="76">
        <v>1</v>
      </c>
      <c r="T60" s="63" t="s">
        <v>351</v>
      </c>
      <c r="U60" s="63" t="s">
        <v>352</v>
      </c>
      <c r="V60" s="63" t="str">
        <f t="shared" si="0"/>
        <v>OJOS DE AGUA-0418-SUR</v>
      </c>
      <c r="W60" s="64" t="str">
        <f t="shared" si="1"/>
        <v>0418-041079-001-0</v>
      </c>
      <c r="X60" s="15" t="str">
        <f t="shared" si="2"/>
        <v>OJOS DE AGUA SUR</v>
      </c>
      <c r="Y60" s="1" t="str">
        <f t="shared" si="3"/>
        <v>0418-041079-001-0 OJOS DE AGUA SUR</v>
      </c>
      <c r="Z60" s="1" t="str">
        <f t="shared" si="4"/>
        <v>0418 OJOS DE AGUA-SUR</v>
      </c>
    </row>
    <row r="61" spans="2:26" x14ac:dyDescent="0.4">
      <c r="B61" s="75" t="s">
        <v>415</v>
      </c>
      <c r="C61" s="75" t="s">
        <v>353</v>
      </c>
      <c r="D61" s="75" t="s">
        <v>354</v>
      </c>
      <c r="E61" s="75" t="s">
        <v>348</v>
      </c>
      <c r="F61" s="76">
        <v>0</v>
      </c>
      <c r="G61" s="75">
        <f>[1]DISTRITOS!A61</f>
        <v>60</v>
      </c>
      <c r="H61" s="75" t="s">
        <v>442</v>
      </c>
      <c r="J61" s="17" t="s">
        <v>81</v>
      </c>
      <c r="K61" s="1" t="s">
        <v>334</v>
      </c>
      <c r="L61" s="17" t="s">
        <v>5</v>
      </c>
      <c r="R61" s="76">
        <v>1</v>
      </c>
      <c r="T61" s="63" t="s">
        <v>351</v>
      </c>
      <c r="U61" s="63" t="s">
        <v>352</v>
      </c>
      <c r="V61" s="63" t="str">
        <f t="shared" si="0"/>
        <v>POTONICO-0419-SUR</v>
      </c>
      <c r="W61" s="64" t="str">
        <f t="shared" si="1"/>
        <v>0419-041079-001-0</v>
      </c>
      <c r="X61" s="15" t="str">
        <f t="shared" si="2"/>
        <v>POTONICO SUR</v>
      </c>
      <c r="Y61" s="1" t="str">
        <f t="shared" si="3"/>
        <v>0419-041079-001-0 POTONICO SUR</v>
      </c>
      <c r="Z61" s="1" t="str">
        <f t="shared" si="4"/>
        <v>0419 POTONICO-SUR</v>
      </c>
    </row>
    <row r="62" spans="2:26" x14ac:dyDescent="0.4">
      <c r="B62" s="75" t="s">
        <v>415</v>
      </c>
      <c r="C62" s="75" t="s">
        <v>353</v>
      </c>
      <c r="D62" s="75" t="s">
        <v>354</v>
      </c>
      <c r="E62" s="75" t="s">
        <v>348</v>
      </c>
      <c r="F62" s="76">
        <v>0</v>
      </c>
      <c r="G62" s="75">
        <f>[1]DISTRITOS!A62</f>
        <v>61</v>
      </c>
      <c r="H62" s="75" t="s">
        <v>443</v>
      </c>
      <c r="J62" s="17" t="s">
        <v>82</v>
      </c>
      <c r="K62" s="1" t="s">
        <v>334</v>
      </c>
      <c r="L62" s="17" t="s">
        <v>5</v>
      </c>
      <c r="R62" s="76">
        <v>1</v>
      </c>
      <c r="T62" s="63" t="s">
        <v>351</v>
      </c>
      <c r="U62" s="63" t="s">
        <v>352</v>
      </c>
      <c r="V62" s="63" t="str">
        <f t="shared" si="0"/>
        <v>SAN ANTONIO DE LA CRUZ-0420-SUR</v>
      </c>
      <c r="W62" s="64" t="str">
        <f t="shared" si="1"/>
        <v>0420-041079-001-0</v>
      </c>
      <c r="X62" s="15" t="str">
        <f t="shared" si="2"/>
        <v>SAN ANTONIO DE LA CRUZ SUR</v>
      </c>
      <c r="Y62" s="1" t="str">
        <f t="shared" si="3"/>
        <v>0420-041079-001-0 SAN ANTONIO DE LA CRUZ SUR</v>
      </c>
      <c r="Z62" s="1" t="str">
        <f t="shared" si="4"/>
        <v>0420 SAN ANTONIO DE LA CRUZ-SUR</v>
      </c>
    </row>
    <row r="63" spans="2:26" x14ac:dyDescent="0.4">
      <c r="B63" s="75" t="s">
        <v>415</v>
      </c>
      <c r="C63" s="75" t="s">
        <v>353</v>
      </c>
      <c r="D63" s="75" t="s">
        <v>354</v>
      </c>
      <c r="E63" s="75" t="s">
        <v>348</v>
      </c>
      <c r="F63" s="76">
        <v>0</v>
      </c>
      <c r="G63" s="75">
        <f>[1]DISTRITOS!A63</f>
        <v>62</v>
      </c>
      <c r="H63" s="75" t="s">
        <v>444</v>
      </c>
      <c r="J63" s="17" t="s">
        <v>83</v>
      </c>
      <c r="K63" s="1" t="s">
        <v>334</v>
      </c>
      <c r="L63" s="17" t="s">
        <v>5</v>
      </c>
      <c r="R63" s="76">
        <v>1</v>
      </c>
      <c r="T63" s="63" t="s">
        <v>351</v>
      </c>
      <c r="U63" s="63" t="s">
        <v>352</v>
      </c>
      <c r="V63" s="63" t="str">
        <f t="shared" si="0"/>
        <v>SAN ANTONIO LOS RANCHOS-0421-SUR</v>
      </c>
      <c r="W63" s="64" t="str">
        <f t="shared" si="1"/>
        <v>0421-041079-001-0</v>
      </c>
      <c r="X63" s="15" t="str">
        <f t="shared" si="2"/>
        <v>SAN ANTONIO LOS RANCHOS SUR</v>
      </c>
      <c r="Y63" s="1" t="str">
        <f t="shared" si="3"/>
        <v>0421-041079-001-0 SAN ANTONIO LOS RANCHOS SUR</v>
      </c>
      <c r="Z63" s="1" t="str">
        <f t="shared" si="4"/>
        <v>0421 SAN ANTONIO LOS RANCHOS-SUR</v>
      </c>
    </row>
    <row r="64" spans="2:26" ht="32" x14ac:dyDescent="0.4">
      <c r="B64" s="75" t="s">
        <v>415</v>
      </c>
      <c r="C64" s="75" t="s">
        <v>353</v>
      </c>
      <c r="D64" s="75" t="s">
        <v>354</v>
      </c>
      <c r="E64" s="75" t="s">
        <v>348</v>
      </c>
      <c r="F64" s="76">
        <v>0</v>
      </c>
      <c r="G64" s="75">
        <f>[1]DISTRITOS!A64</f>
        <v>63</v>
      </c>
      <c r="H64" s="75" t="s">
        <v>445</v>
      </c>
      <c r="J64" s="17" t="s">
        <v>64</v>
      </c>
      <c r="K64" s="61" t="s">
        <v>329</v>
      </c>
      <c r="L64" s="17" t="s">
        <v>5</v>
      </c>
      <c r="M64" s="76">
        <v>1</v>
      </c>
      <c r="T64" s="63" t="s">
        <v>351</v>
      </c>
      <c r="U64" s="63" t="s">
        <v>352</v>
      </c>
      <c r="V64" s="63" t="str">
        <f t="shared" si="0"/>
        <v>SAN FERNANDO-0422-CENTRO</v>
      </c>
      <c r="W64" s="64" t="str">
        <f t="shared" si="1"/>
        <v>0422-041079-001-0</v>
      </c>
      <c r="X64" s="15" t="str">
        <f t="shared" si="2"/>
        <v>SAN FERNANDO CENTRO</v>
      </c>
      <c r="Y64" s="1" t="str">
        <f t="shared" si="3"/>
        <v>0422-041079-001-0 SAN FERNANDO CENTRO</v>
      </c>
      <c r="Z64" s="1" t="str">
        <f t="shared" si="4"/>
        <v>0422 SAN FERNANDO-CENTRO</v>
      </c>
    </row>
    <row r="65" spans="1:29" x14ac:dyDescent="0.4">
      <c r="B65" s="75" t="s">
        <v>415</v>
      </c>
      <c r="C65" s="75" t="s">
        <v>353</v>
      </c>
      <c r="D65" s="75" t="s">
        <v>354</v>
      </c>
      <c r="E65" s="75" t="s">
        <v>348</v>
      </c>
      <c r="F65" s="76">
        <v>0</v>
      </c>
      <c r="G65" s="75">
        <f>[1]DISTRITOS!A65</f>
        <v>64</v>
      </c>
      <c r="H65" s="75" t="s">
        <v>446</v>
      </c>
      <c r="J65" s="17" t="s">
        <v>84</v>
      </c>
      <c r="K65" s="1" t="s">
        <v>334</v>
      </c>
      <c r="L65" s="17" t="s">
        <v>5</v>
      </c>
      <c r="R65" s="76">
        <v>1</v>
      </c>
      <c r="T65" s="63" t="s">
        <v>351</v>
      </c>
      <c r="U65" s="63" t="s">
        <v>352</v>
      </c>
      <c r="V65" s="63" t="str">
        <f t="shared" si="0"/>
        <v>SAN FRANCISCO LEMPA-0423-SUR</v>
      </c>
      <c r="W65" s="64" t="str">
        <f t="shared" si="1"/>
        <v>0423-041079-001-0</v>
      </c>
      <c r="X65" s="15" t="str">
        <f t="shared" si="2"/>
        <v>SAN FRANCISCO LEMPA SUR</v>
      </c>
      <c r="Y65" s="1" t="str">
        <f t="shared" si="3"/>
        <v>0423-041079-001-0 SAN FRANCISCO LEMPA SUR</v>
      </c>
      <c r="Z65" s="1" t="str">
        <f t="shared" si="4"/>
        <v>0423 SAN FRANCISCO LEMPA-SUR</v>
      </c>
    </row>
    <row r="66" spans="1:29" ht="32" x14ac:dyDescent="0.4">
      <c r="B66" s="75" t="s">
        <v>415</v>
      </c>
      <c r="C66" s="75" t="s">
        <v>353</v>
      </c>
      <c r="D66" s="75" t="s">
        <v>354</v>
      </c>
      <c r="E66" s="75" t="s">
        <v>348</v>
      </c>
      <c r="F66" s="76">
        <v>0</v>
      </c>
      <c r="G66" s="75">
        <f>[1]DISTRITOS!A66</f>
        <v>65</v>
      </c>
      <c r="H66" s="75" t="s">
        <v>447</v>
      </c>
      <c r="J66" s="17" t="s">
        <v>448</v>
      </c>
      <c r="K66" s="61" t="s">
        <v>329</v>
      </c>
      <c r="L66" s="17" t="s">
        <v>5</v>
      </c>
      <c r="M66" s="76">
        <v>1</v>
      </c>
      <c r="T66" s="63" t="s">
        <v>351</v>
      </c>
      <c r="U66" s="63" t="s">
        <v>352</v>
      </c>
      <c r="V66" s="63" t="str">
        <f t="shared" ref="V66:V129" si="5">CONCATENATE(J66,T66,H66,T66,K66)</f>
        <v>SAN FRANCISCO MORAZAN-0424-CENTRO</v>
      </c>
      <c r="W66" s="64" t="str">
        <f t="shared" ref="W66:W129" si="6">CONCATENATE(H66,T66,B66,C66,D66,T66,E66,T66,F66)</f>
        <v>0424-041079-001-0</v>
      </c>
      <c r="X66" s="15" t="str">
        <f t="shared" ref="X66:X129" si="7">CONCATENATE(J66,U66,K66)</f>
        <v>SAN FRANCISCO MORAZAN CENTRO</v>
      </c>
      <c r="Y66" s="1" t="str">
        <f t="shared" ref="Y66:Y129" si="8">CONCATENATE(W66,U66,X66)</f>
        <v>0424-041079-001-0 SAN FRANCISCO MORAZAN CENTRO</v>
      </c>
      <c r="Z66" s="1" t="str">
        <f t="shared" ref="Z66:Z129" si="9">CONCATENATE(H66,U66,J66,T66,K66)</f>
        <v>0424 SAN FRANCISCO MORAZAN-CENTRO</v>
      </c>
    </row>
    <row r="67" spans="1:29" x14ac:dyDescent="0.4">
      <c r="B67" s="75" t="s">
        <v>415</v>
      </c>
      <c r="C67" s="75" t="s">
        <v>353</v>
      </c>
      <c r="D67" s="75" t="s">
        <v>354</v>
      </c>
      <c r="E67" s="75" t="s">
        <v>348</v>
      </c>
      <c r="F67" s="76">
        <v>0</v>
      </c>
      <c r="G67" s="75">
        <f>[1]DISTRITOS!A67</f>
        <v>66</v>
      </c>
      <c r="H67" s="75" t="s">
        <v>449</v>
      </c>
      <c r="J67" s="17" t="s">
        <v>58</v>
      </c>
      <c r="K67" s="1" t="s">
        <v>332</v>
      </c>
      <c r="L67" s="17" t="s">
        <v>5</v>
      </c>
      <c r="P67" s="76">
        <v>1</v>
      </c>
      <c r="T67" s="63" t="s">
        <v>351</v>
      </c>
      <c r="U67" s="63" t="s">
        <v>352</v>
      </c>
      <c r="V67" s="63" t="str">
        <f t="shared" si="5"/>
        <v>SAN IGNACIO-0425-NORTE</v>
      </c>
      <c r="W67" s="64" t="str">
        <f t="shared" si="6"/>
        <v>0425-041079-001-0</v>
      </c>
      <c r="X67" s="15" t="str">
        <f t="shared" si="7"/>
        <v>SAN IGNACIO NORTE</v>
      </c>
      <c r="Y67" s="1" t="str">
        <f t="shared" si="8"/>
        <v>0425-041079-001-0 SAN IGNACIO NORTE</v>
      </c>
      <c r="Z67" s="1" t="str">
        <f t="shared" si="9"/>
        <v>0425 SAN IGNACIO-NORTE</v>
      </c>
    </row>
    <row r="68" spans="1:29" x14ac:dyDescent="0.4">
      <c r="B68" s="75" t="s">
        <v>415</v>
      </c>
      <c r="C68" s="75" t="s">
        <v>353</v>
      </c>
      <c r="D68" s="75" t="s">
        <v>354</v>
      </c>
      <c r="E68" s="75" t="s">
        <v>348</v>
      </c>
      <c r="F68" s="76">
        <v>0</v>
      </c>
      <c r="G68" s="75">
        <f>[1]DISTRITOS!A68</f>
        <v>67</v>
      </c>
      <c r="H68" s="75" t="s">
        <v>450</v>
      </c>
      <c r="J68" s="17" t="s">
        <v>85</v>
      </c>
      <c r="K68" s="1" t="s">
        <v>334</v>
      </c>
      <c r="L68" s="17" t="s">
        <v>5</v>
      </c>
      <c r="R68" s="76">
        <v>1</v>
      </c>
      <c r="T68" s="63" t="s">
        <v>351</v>
      </c>
      <c r="U68" s="63" t="s">
        <v>352</v>
      </c>
      <c r="V68" s="63" t="str">
        <f t="shared" si="5"/>
        <v>SAN ISIDRO LABRADOR-0426-SUR</v>
      </c>
      <c r="W68" s="64" t="str">
        <f t="shared" si="6"/>
        <v>0426-041079-001-0</v>
      </c>
      <c r="X68" s="15" t="str">
        <f t="shared" si="7"/>
        <v>SAN ISIDRO LABRADOR SUR</v>
      </c>
      <c r="Y68" s="1" t="str">
        <f t="shared" si="8"/>
        <v>0426-041079-001-0 SAN ISIDRO LABRADOR SUR</v>
      </c>
      <c r="Z68" s="1" t="str">
        <f t="shared" si="9"/>
        <v>0426 SAN ISIDRO LABRADOR-SUR</v>
      </c>
    </row>
    <row r="69" spans="1:29" x14ac:dyDescent="0.4">
      <c r="B69" s="75" t="s">
        <v>415</v>
      </c>
      <c r="C69" s="75" t="s">
        <v>353</v>
      </c>
      <c r="D69" s="75" t="s">
        <v>354</v>
      </c>
      <c r="E69" s="75" t="s">
        <v>348</v>
      </c>
      <c r="F69" s="76">
        <v>0</v>
      </c>
      <c r="G69" s="75">
        <f>[1]DISTRITOS!A69</f>
        <v>68</v>
      </c>
      <c r="H69" s="75" t="s">
        <v>451</v>
      </c>
      <c r="J69" s="17" t="s">
        <v>452</v>
      </c>
      <c r="K69" s="1" t="s">
        <v>334</v>
      </c>
      <c r="L69" s="17" t="s">
        <v>5</v>
      </c>
      <c r="R69" s="76">
        <v>1</v>
      </c>
      <c r="T69" s="63" t="s">
        <v>351</v>
      </c>
      <c r="U69" s="63" t="s">
        <v>352</v>
      </c>
      <c r="V69" s="63" t="str">
        <f t="shared" si="5"/>
        <v>CANCASTE-0427-SUR</v>
      </c>
      <c r="W69" s="64" t="str">
        <f t="shared" si="6"/>
        <v>0427-041079-001-0</v>
      </c>
      <c r="X69" s="15" t="str">
        <f t="shared" si="7"/>
        <v>CANCASTE SUR</v>
      </c>
      <c r="Y69" s="1" t="str">
        <f t="shared" si="8"/>
        <v>0427-041079-001-0 CANCASTE SUR</v>
      </c>
      <c r="Z69" s="1" t="str">
        <f t="shared" si="9"/>
        <v>0427 CANCASTE-SUR</v>
      </c>
    </row>
    <row r="70" spans="1:29" x14ac:dyDescent="0.4">
      <c r="B70" s="75" t="s">
        <v>415</v>
      </c>
      <c r="C70" s="75" t="s">
        <v>353</v>
      </c>
      <c r="D70" s="75" t="s">
        <v>354</v>
      </c>
      <c r="E70" s="75" t="s">
        <v>348</v>
      </c>
      <c r="F70" s="76">
        <v>0</v>
      </c>
      <c r="G70" s="75">
        <f>[1]DISTRITOS!A70</f>
        <v>69</v>
      </c>
      <c r="H70" s="75" t="s">
        <v>453</v>
      </c>
      <c r="J70" s="17" t="s">
        <v>454</v>
      </c>
      <c r="K70" s="1" t="s">
        <v>334</v>
      </c>
      <c r="L70" s="17" t="s">
        <v>5</v>
      </c>
      <c r="R70" s="76">
        <v>1</v>
      </c>
      <c r="T70" s="63" t="s">
        <v>351</v>
      </c>
      <c r="U70" s="63" t="s">
        <v>352</v>
      </c>
      <c r="V70" s="63" t="str">
        <f t="shared" si="5"/>
        <v>SAN JOSE LAS FLORES-0428-SUR</v>
      </c>
      <c r="W70" s="64" t="str">
        <f t="shared" si="6"/>
        <v>0428-041079-001-0</v>
      </c>
      <c r="X70" s="15" t="str">
        <f t="shared" si="7"/>
        <v>SAN JOSE LAS FLORES SUR</v>
      </c>
      <c r="Y70" s="1" t="str">
        <f t="shared" si="8"/>
        <v>0428-041079-001-0 SAN JOSE LAS FLORES SUR</v>
      </c>
      <c r="Z70" s="1" t="str">
        <f t="shared" si="9"/>
        <v>0428 SAN JOSE LAS FLORES-SUR</v>
      </c>
    </row>
    <row r="71" spans="1:29" x14ac:dyDescent="0.4">
      <c r="B71" s="75" t="s">
        <v>415</v>
      </c>
      <c r="C71" s="75" t="s">
        <v>353</v>
      </c>
      <c r="D71" s="75" t="s">
        <v>354</v>
      </c>
      <c r="E71" s="75" t="s">
        <v>348</v>
      </c>
      <c r="F71" s="76">
        <v>0</v>
      </c>
      <c r="G71" s="75">
        <f>[1]DISTRITOS!A71</f>
        <v>70</v>
      </c>
      <c r="H71" s="75" t="s">
        <v>455</v>
      </c>
      <c r="J71" s="17" t="s">
        <v>86</v>
      </c>
      <c r="K71" s="1" t="s">
        <v>334</v>
      </c>
      <c r="L71" s="17" t="s">
        <v>5</v>
      </c>
      <c r="R71" s="76">
        <v>1</v>
      </c>
      <c r="T71" s="63" t="s">
        <v>351</v>
      </c>
      <c r="U71" s="63" t="s">
        <v>352</v>
      </c>
      <c r="V71" s="63" t="str">
        <f t="shared" si="5"/>
        <v>SAN LUIS DEL CARMEN-0429-SUR</v>
      </c>
      <c r="W71" s="64" t="str">
        <f t="shared" si="6"/>
        <v>0429-041079-001-0</v>
      </c>
      <c r="X71" s="15" t="str">
        <f t="shared" si="7"/>
        <v>SAN LUIS DEL CARMEN SUR</v>
      </c>
      <c r="Y71" s="1" t="str">
        <f t="shared" si="8"/>
        <v>0429-041079-001-0 SAN LUIS DEL CARMEN SUR</v>
      </c>
      <c r="Z71" s="1" t="str">
        <f t="shared" si="9"/>
        <v>0429 SAN LUIS DEL CARMEN-SUR</v>
      </c>
    </row>
    <row r="72" spans="1:29" x14ac:dyDescent="0.4">
      <c r="B72" s="75" t="s">
        <v>415</v>
      </c>
      <c r="C72" s="75" t="s">
        <v>353</v>
      </c>
      <c r="D72" s="75" t="s">
        <v>354</v>
      </c>
      <c r="E72" s="75" t="s">
        <v>348</v>
      </c>
      <c r="F72" s="76">
        <v>1</v>
      </c>
      <c r="G72" s="75">
        <f>[1]DISTRITOS!A72</f>
        <v>71</v>
      </c>
      <c r="H72" s="75" t="s">
        <v>456</v>
      </c>
      <c r="J72" s="17" t="s">
        <v>87</v>
      </c>
      <c r="K72" s="1" t="s">
        <v>334</v>
      </c>
      <c r="L72" s="17" t="s">
        <v>5</v>
      </c>
      <c r="R72" s="76">
        <v>1</v>
      </c>
      <c r="T72" s="63" t="s">
        <v>351</v>
      </c>
      <c r="U72" s="63" t="s">
        <v>352</v>
      </c>
      <c r="V72" s="63" t="str">
        <f t="shared" si="5"/>
        <v>SAN MIGUEL DE MERCEDES-0430-SUR</v>
      </c>
      <c r="W72" s="64" t="str">
        <f t="shared" si="6"/>
        <v>0430-041079-001-1</v>
      </c>
      <c r="X72" s="15" t="str">
        <f t="shared" si="7"/>
        <v>SAN MIGUEL DE MERCEDES SUR</v>
      </c>
      <c r="Y72" s="1" t="str">
        <f t="shared" si="8"/>
        <v>0430-041079-001-1 SAN MIGUEL DE MERCEDES SUR</v>
      </c>
      <c r="Z72" s="1" t="str">
        <f t="shared" si="9"/>
        <v>0430 SAN MIGUEL DE MERCEDES-SUR</v>
      </c>
    </row>
    <row r="73" spans="1:29" ht="32" x14ac:dyDescent="0.4">
      <c r="B73" s="75" t="s">
        <v>457</v>
      </c>
      <c r="C73" s="75" t="s">
        <v>345</v>
      </c>
      <c r="D73" s="75" t="s">
        <v>458</v>
      </c>
      <c r="E73" s="75" t="s">
        <v>348</v>
      </c>
      <c r="F73" s="76">
        <v>0</v>
      </c>
      <c r="G73" s="75">
        <f>[1]DISTRITOS!A73</f>
        <v>72</v>
      </c>
      <c r="H73" s="75" t="s">
        <v>459</v>
      </c>
      <c r="J73" s="17" t="s">
        <v>66</v>
      </c>
      <c r="K73" s="61" t="s">
        <v>329</v>
      </c>
      <c r="L73" s="17" t="s">
        <v>5</v>
      </c>
      <c r="M73" s="76">
        <v>1</v>
      </c>
      <c r="T73" s="63" t="s">
        <v>351</v>
      </c>
      <c r="U73" s="63" t="s">
        <v>352</v>
      </c>
      <c r="V73" s="63" t="str">
        <f t="shared" si="5"/>
        <v>SAN RAFAEL-0431-CENTRO</v>
      </c>
      <c r="W73" s="64" t="str">
        <f t="shared" si="6"/>
        <v>0431-310181-001-0</v>
      </c>
      <c r="X73" s="15" t="str">
        <f t="shared" si="7"/>
        <v>SAN RAFAEL CENTRO</v>
      </c>
      <c r="Y73" s="1" t="str">
        <f t="shared" si="8"/>
        <v>0431-310181-001-0 SAN RAFAEL CENTRO</v>
      </c>
      <c r="Z73" s="1" t="str">
        <f t="shared" si="9"/>
        <v>0431 SAN RAFAEL-CENTRO</v>
      </c>
    </row>
    <row r="74" spans="1:29" ht="32" x14ac:dyDescent="0.4">
      <c r="B74" s="75" t="s">
        <v>415</v>
      </c>
      <c r="C74" s="75" t="s">
        <v>353</v>
      </c>
      <c r="D74" s="75" t="s">
        <v>354</v>
      </c>
      <c r="E74" s="75" t="s">
        <v>348</v>
      </c>
      <c r="F74" s="76">
        <v>1</v>
      </c>
      <c r="G74" s="75">
        <f>[1]DISTRITOS!A74</f>
        <v>73</v>
      </c>
      <c r="H74" s="75" t="s">
        <v>460</v>
      </c>
      <c r="J74" s="17" t="s">
        <v>67</v>
      </c>
      <c r="K74" s="61" t="s">
        <v>329</v>
      </c>
      <c r="L74" s="17" t="s">
        <v>5</v>
      </c>
      <c r="M74" s="76">
        <v>1</v>
      </c>
      <c r="T74" s="63" t="s">
        <v>351</v>
      </c>
      <c r="U74" s="63" t="s">
        <v>352</v>
      </c>
      <c r="V74" s="63" t="str">
        <f t="shared" si="5"/>
        <v>SANTA RITA-0432-CENTRO</v>
      </c>
      <c r="W74" s="64" t="str">
        <f t="shared" si="6"/>
        <v>0432-041079-001-1</v>
      </c>
      <c r="X74" s="15" t="str">
        <f t="shared" si="7"/>
        <v>SANTA RITA CENTRO</v>
      </c>
      <c r="Y74" s="1" t="str">
        <f t="shared" si="8"/>
        <v>0432-041079-001-1 SANTA RITA CENTRO</v>
      </c>
      <c r="Z74" s="1" t="str">
        <f t="shared" si="9"/>
        <v>0432 SANTA RITA-CENTRO</v>
      </c>
    </row>
    <row r="75" spans="1:29" ht="32" x14ac:dyDescent="0.4">
      <c r="B75" s="75" t="s">
        <v>415</v>
      </c>
      <c r="C75" s="75" t="s">
        <v>353</v>
      </c>
      <c r="D75" s="75" t="s">
        <v>354</v>
      </c>
      <c r="E75" s="75" t="s">
        <v>348</v>
      </c>
      <c r="F75" s="76">
        <v>1</v>
      </c>
      <c r="G75" s="75">
        <f>[1]DISTRITOS!A75</f>
        <v>74</v>
      </c>
      <c r="H75" s="75" t="s">
        <v>461</v>
      </c>
      <c r="J75" s="17" t="s">
        <v>68</v>
      </c>
      <c r="K75" s="61" t="s">
        <v>329</v>
      </c>
      <c r="L75" s="17" t="s">
        <v>5</v>
      </c>
      <c r="M75" s="76">
        <v>1</v>
      </c>
      <c r="T75" s="63" t="s">
        <v>351</v>
      </c>
      <c r="U75" s="63" t="s">
        <v>352</v>
      </c>
      <c r="V75" s="63" t="str">
        <f t="shared" si="5"/>
        <v>TEJUTLA-0433-CENTRO</v>
      </c>
      <c r="W75" s="64" t="str">
        <f t="shared" si="6"/>
        <v>0433-041079-001-1</v>
      </c>
      <c r="X75" s="15" t="str">
        <f t="shared" si="7"/>
        <v>TEJUTLA CENTRO</v>
      </c>
      <c r="Y75" s="1" t="str">
        <f t="shared" si="8"/>
        <v>0433-041079-001-1 TEJUTLA CENTRO</v>
      </c>
      <c r="Z75" s="1" t="str">
        <f t="shared" si="9"/>
        <v>0433 TEJUTLA-CENTRO</v>
      </c>
    </row>
    <row r="76" spans="1:29" x14ac:dyDescent="0.4">
      <c r="A76" s="16" t="s">
        <v>373</v>
      </c>
      <c r="B76" s="80" t="s">
        <v>345</v>
      </c>
      <c r="C76" s="80" t="s">
        <v>346</v>
      </c>
      <c r="D76" s="80" t="s">
        <v>347</v>
      </c>
      <c r="E76" s="80" t="s">
        <v>348</v>
      </c>
      <c r="F76" s="81">
        <v>8</v>
      </c>
      <c r="G76" s="80">
        <f>[1]DISTRITOS!A76</f>
        <v>75</v>
      </c>
      <c r="H76" s="80" t="s">
        <v>462</v>
      </c>
      <c r="I76" s="16"/>
      <c r="J76" s="16" t="s">
        <v>463</v>
      </c>
      <c r="K76" s="1" t="s">
        <v>331</v>
      </c>
      <c r="L76" s="16" t="s">
        <v>6</v>
      </c>
      <c r="M76" s="81"/>
      <c r="N76" s="81"/>
      <c r="O76" s="81">
        <v>1</v>
      </c>
      <c r="P76" s="81"/>
      <c r="Q76" s="81"/>
      <c r="R76" s="81"/>
      <c r="S76" s="16"/>
      <c r="T76" s="63" t="s">
        <v>351</v>
      </c>
      <c r="U76" s="63" t="s">
        <v>352</v>
      </c>
      <c r="V76" s="63" t="str">
        <f t="shared" si="5"/>
        <v>ANTIGUO CUSCATLAN-0501-ESTE</v>
      </c>
      <c r="W76" s="64" t="str">
        <f t="shared" si="6"/>
        <v>0501-010611-001-8</v>
      </c>
      <c r="X76" s="15" t="str">
        <f t="shared" si="7"/>
        <v>ANTIGUO CUSCATLAN ESTE</v>
      </c>
      <c r="Y76" s="1" t="str">
        <f t="shared" si="8"/>
        <v>0501-010611-001-8 ANTIGUO CUSCATLAN ESTE</v>
      </c>
      <c r="Z76" s="1" t="str">
        <f t="shared" si="9"/>
        <v>0501 ANTIGUO CUSCATLAN-ESTE</v>
      </c>
      <c r="AA76" s="82">
        <v>134.58000000000001</v>
      </c>
      <c r="AB76" s="83">
        <v>132697</v>
      </c>
      <c r="AC76" s="82">
        <v>986.01</v>
      </c>
    </row>
    <row r="77" spans="1:29" ht="32" x14ac:dyDescent="0.4">
      <c r="B77" s="80" t="s">
        <v>464</v>
      </c>
      <c r="C77" s="80" t="s">
        <v>353</v>
      </c>
      <c r="D77" s="80" t="s">
        <v>354</v>
      </c>
      <c r="E77" s="80" t="s">
        <v>348</v>
      </c>
      <c r="F77" s="81">
        <v>9</v>
      </c>
      <c r="G77" s="80">
        <f>[1]DISTRITOS!A77</f>
        <v>76</v>
      </c>
      <c r="H77" s="80" t="s">
        <v>465</v>
      </c>
      <c r="J77" s="16" t="s">
        <v>92</v>
      </c>
      <c r="K77" s="61" t="s">
        <v>329</v>
      </c>
      <c r="L77" s="16" t="s">
        <v>6</v>
      </c>
      <c r="M77" s="81">
        <v>1</v>
      </c>
      <c r="T77" s="63" t="s">
        <v>351</v>
      </c>
      <c r="U77" s="63" t="s">
        <v>352</v>
      </c>
      <c r="V77" s="63" t="str">
        <f t="shared" si="5"/>
        <v>CIUDAD ARCE-0502-CENTRO</v>
      </c>
      <c r="W77" s="64" t="str">
        <f t="shared" si="6"/>
        <v>0502-051079-001-9</v>
      </c>
      <c r="X77" s="15" t="str">
        <f t="shared" si="7"/>
        <v>CIUDAD ARCE CENTRO</v>
      </c>
      <c r="Y77" s="1" t="str">
        <f t="shared" si="8"/>
        <v>0502-051079-001-9 CIUDAD ARCE CENTRO</v>
      </c>
      <c r="Z77" s="1" t="str">
        <f t="shared" si="9"/>
        <v>0502 CIUDAD ARCE-CENTRO</v>
      </c>
    </row>
    <row r="78" spans="1:29" ht="32" x14ac:dyDescent="0.4">
      <c r="A78" s="16" t="s">
        <v>371</v>
      </c>
      <c r="B78" s="80" t="s">
        <v>395</v>
      </c>
      <c r="C78" s="80" t="s">
        <v>346</v>
      </c>
      <c r="D78" s="80" t="s">
        <v>354</v>
      </c>
      <c r="E78" s="80" t="s">
        <v>348</v>
      </c>
      <c r="F78" s="81">
        <v>3</v>
      </c>
      <c r="G78" s="80">
        <f>[1]DISTRITOS!A78</f>
        <v>77</v>
      </c>
      <c r="H78" s="80" t="s">
        <v>466</v>
      </c>
      <c r="J78" s="16" t="s">
        <v>467</v>
      </c>
      <c r="K78" s="61" t="s">
        <v>333</v>
      </c>
      <c r="L78" s="16" t="s">
        <v>6</v>
      </c>
      <c r="Q78" s="81">
        <v>1</v>
      </c>
      <c r="T78" s="63" t="s">
        <v>351</v>
      </c>
      <c r="U78" s="63" t="s">
        <v>352</v>
      </c>
      <c r="V78" s="63" t="str">
        <f t="shared" si="5"/>
        <v>COLON-0503-OESTE</v>
      </c>
      <c r="W78" s="64" t="str">
        <f t="shared" si="6"/>
        <v>0503-030679-001-3</v>
      </c>
      <c r="X78" s="15" t="str">
        <f t="shared" si="7"/>
        <v>COLON OESTE</v>
      </c>
      <c r="Y78" s="1" t="str">
        <f t="shared" si="8"/>
        <v>0503-030679-001-3 COLON OESTE</v>
      </c>
      <c r="Z78" s="1" t="str">
        <f t="shared" si="9"/>
        <v>0503 COLON-OESTE</v>
      </c>
      <c r="AA78" s="82">
        <v>276.98</v>
      </c>
      <c r="AB78" s="83">
        <v>148980</v>
      </c>
      <c r="AC78" s="82">
        <v>537.87</v>
      </c>
    </row>
    <row r="79" spans="1:29" x14ac:dyDescent="0.4">
      <c r="B79" s="80" t="s">
        <v>468</v>
      </c>
      <c r="C79" s="80" t="s">
        <v>395</v>
      </c>
      <c r="D79" s="80" t="s">
        <v>432</v>
      </c>
      <c r="E79" s="80" t="s">
        <v>348</v>
      </c>
      <c r="F79" s="81">
        <v>9</v>
      </c>
      <c r="G79" s="80">
        <f>[1]DISTRITOS!A79</f>
        <v>78</v>
      </c>
      <c r="H79" s="80" t="s">
        <v>469</v>
      </c>
      <c r="J79" s="16" t="s">
        <v>108</v>
      </c>
      <c r="K79" s="1" t="s">
        <v>334</v>
      </c>
      <c r="L79" s="16" t="s">
        <v>6</v>
      </c>
      <c r="R79" s="81">
        <v>1</v>
      </c>
      <c r="T79" s="63" t="s">
        <v>351</v>
      </c>
      <c r="U79" s="63" t="s">
        <v>352</v>
      </c>
      <c r="V79" s="63" t="str">
        <f t="shared" si="5"/>
        <v>COMASAGUA-0504-SUR</v>
      </c>
      <c r="W79" s="64" t="str">
        <f t="shared" si="6"/>
        <v>0504-250324-001-9</v>
      </c>
      <c r="X79" s="15" t="str">
        <f t="shared" si="7"/>
        <v>COMASAGUA SUR</v>
      </c>
      <c r="Y79" s="1" t="str">
        <f t="shared" si="8"/>
        <v>0504-250324-001-9 COMASAGUA SUR</v>
      </c>
      <c r="Z79" s="1" t="str">
        <f t="shared" si="9"/>
        <v>0504 COMASAGUA-SUR</v>
      </c>
    </row>
    <row r="80" spans="1:29" x14ac:dyDescent="0.4">
      <c r="A80" s="16" t="s">
        <v>356</v>
      </c>
      <c r="B80" s="80" t="s">
        <v>464</v>
      </c>
      <c r="C80" s="80" t="s">
        <v>353</v>
      </c>
      <c r="D80" s="80" t="s">
        <v>354</v>
      </c>
      <c r="E80" s="80" t="s">
        <v>348</v>
      </c>
      <c r="F80" s="81">
        <v>9</v>
      </c>
      <c r="G80" s="80">
        <f>[1]DISTRITOS!A80</f>
        <v>79</v>
      </c>
      <c r="H80" s="80" t="s">
        <v>470</v>
      </c>
      <c r="J80" s="16" t="s">
        <v>471</v>
      </c>
      <c r="K80" s="1" t="s">
        <v>332</v>
      </c>
      <c r="L80" s="16" t="s">
        <v>6</v>
      </c>
      <c r="N80" s="81">
        <v>1</v>
      </c>
      <c r="T80" s="63" t="s">
        <v>351</v>
      </c>
      <c r="U80" s="63" t="s">
        <v>352</v>
      </c>
      <c r="V80" s="63" t="str">
        <f t="shared" si="5"/>
        <v>CHILTIUPAN-0505-NORTE</v>
      </c>
      <c r="W80" s="64" t="str">
        <f t="shared" si="6"/>
        <v>0505-051079-001-9</v>
      </c>
      <c r="X80" s="15" t="str">
        <f t="shared" si="7"/>
        <v>CHILTIUPAN NORTE</v>
      </c>
      <c r="Y80" s="1" t="str">
        <f t="shared" si="8"/>
        <v>0505-051079-001-9 CHILTIUPAN NORTE</v>
      </c>
      <c r="Z80" s="1" t="str">
        <f t="shared" si="9"/>
        <v>0505 CHILTIUPAN-NORTE</v>
      </c>
      <c r="AA80" s="82">
        <v>440.98</v>
      </c>
      <c r="AB80" s="83">
        <v>79906</v>
      </c>
      <c r="AC80" s="82">
        <v>181.2</v>
      </c>
    </row>
    <row r="81" spans="1:29" x14ac:dyDescent="0.4">
      <c r="B81" s="80" t="s">
        <v>464</v>
      </c>
      <c r="C81" s="80" t="s">
        <v>353</v>
      </c>
      <c r="D81" s="80" t="s">
        <v>354</v>
      </c>
      <c r="E81" s="80" t="s">
        <v>348</v>
      </c>
      <c r="F81" s="81">
        <v>9</v>
      </c>
      <c r="G81" s="80">
        <f>[1]DISTRITOS!A81</f>
        <v>80</v>
      </c>
      <c r="H81" s="80" t="s">
        <v>472</v>
      </c>
      <c r="J81" s="16" t="s">
        <v>473</v>
      </c>
      <c r="K81" s="1" t="s">
        <v>331</v>
      </c>
      <c r="L81" s="16" t="s">
        <v>6</v>
      </c>
      <c r="O81" s="81">
        <v>1</v>
      </c>
      <c r="T81" s="63" t="s">
        <v>351</v>
      </c>
      <c r="U81" s="63" t="s">
        <v>352</v>
      </c>
      <c r="V81" s="63" t="str">
        <f t="shared" si="5"/>
        <v>HUIZUCAR-0506-ESTE</v>
      </c>
      <c r="W81" s="64" t="str">
        <f t="shared" si="6"/>
        <v>0506-051079-001-9</v>
      </c>
      <c r="X81" s="15" t="str">
        <f t="shared" si="7"/>
        <v>HUIZUCAR ESTE</v>
      </c>
      <c r="Y81" s="1" t="str">
        <f t="shared" si="8"/>
        <v>0506-051079-001-9 HUIZUCAR ESTE</v>
      </c>
      <c r="Z81" s="1" t="str">
        <f t="shared" si="9"/>
        <v>0506 HUIZUCAR-ESTE</v>
      </c>
    </row>
    <row r="82" spans="1:29" ht="32" x14ac:dyDescent="0.4">
      <c r="B82" s="80" t="s">
        <v>464</v>
      </c>
      <c r="C82" s="80" t="s">
        <v>353</v>
      </c>
      <c r="D82" s="80" t="s">
        <v>354</v>
      </c>
      <c r="E82" s="80" t="s">
        <v>348</v>
      </c>
      <c r="F82" s="81">
        <v>9</v>
      </c>
      <c r="G82" s="80">
        <f>[1]DISTRITOS!A82</f>
        <v>81</v>
      </c>
      <c r="H82" s="80" t="s">
        <v>474</v>
      </c>
      <c r="J82" s="16" t="s">
        <v>94</v>
      </c>
      <c r="K82" s="61" t="s">
        <v>333</v>
      </c>
      <c r="L82" s="16" t="s">
        <v>6</v>
      </c>
      <c r="Q82" s="81">
        <v>1</v>
      </c>
      <c r="T82" s="63" t="s">
        <v>351</v>
      </c>
      <c r="U82" s="63" t="s">
        <v>352</v>
      </c>
      <c r="V82" s="63" t="str">
        <f t="shared" si="5"/>
        <v>JAYAQUE-0507-OESTE</v>
      </c>
      <c r="W82" s="64" t="str">
        <f t="shared" si="6"/>
        <v>0507-051079-001-9</v>
      </c>
      <c r="X82" s="15" t="str">
        <f t="shared" si="7"/>
        <v>JAYAQUE OESTE</v>
      </c>
      <c r="Y82" s="1" t="str">
        <f t="shared" si="8"/>
        <v>0507-051079-001-9 JAYAQUE OESTE</v>
      </c>
      <c r="Z82" s="1" t="str">
        <f t="shared" si="9"/>
        <v>0507 JAYAQUE-OESTE</v>
      </c>
    </row>
    <row r="83" spans="1:29" x14ac:dyDescent="0.4">
      <c r="B83" s="80" t="s">
        <v>464</v>
      </c>
      <c r="C83" s="80" t="s">
        <v>353</v>
      </c>
      <c r="D83" s="80" t="s">
        <v>354</v>
      </c>
      <c r="E83" s="80" t="s">
        <v>348</v>
      </c>
      <c r="F83" s="81">
        <v>9</v>
      </c>
      <c r="G83" s="80">
        <f>[1]DISTRITOS!A83</f>
        <v>82</v>
      </c>
      <c r="H83" s="80" t="s">
        <v>475</v>
      </c>
      <c r="J83" s="16" t="s">
        <v>104</v>
      </c>
      <c r="K83" s="1" t="s">
        <v>330</v>
      </c>
      <c r="L83" s="16" t="s">
        <v>6</v>
      </c>
      <c r="N83" s="81">
        <v>1</v>
      </c>
      <c r="T83" s="63" t="s">
        <v>351</v>
      </c>
      <c r="U83" s="63" t="s">
        <v>352</v>
      </c>
      <c r="V83" s="63" t="str">
        <f t="shared" si="5"/>
        <v>JICALAPA-0508-COSTA</v>
      </c>
      <c r="W83" s="64" t="str">
        <f t="shared" si="6"/>
        <v>0508-051079-001-9</v>
      </c>
      <c r="X83" s="15" t="str">
        <f t="shared" si="7"/>
        <v>JICALAPA COSTA</v>
      </c>
      <c r="Y83" s="1" t="str">
        <f t="shared" si="8"/>
        <v>0508-051079-001-9 JICALAPA COSTA</v>
      </c>
      <c r="Z83" s="1" t="str">
        <f t="shared" si="9"/>
        <v>0508 JICALAPA-COSTA</v>
      </c>
    </row>
    <row r="84" spans="1:29" ht="32" x14ac:dyDescent="0.4">
      <c r="A84" s="16" t="s">
        <v>476</v>
      </c>
      <c r="B84" s="80" t="s">
        <v>345</v>
      </c>
      <c r="C84" s="80" t="s">
        <v>346</v>
      </c>
      <c r="D84" s="80" t="s">
        <v>347</v>
      </c>
      <c r="E84" s="80" t="s">
        <v>348</v>
      </c>
      <c r="F84" s="81">
        <v>8</v>
      </c>
      <c r="G84" s="80">
        <f>[1]DISTRITOS!A84</f>
        <v>83</v>
      </c>
      <c r="H84" s="80" t="s">
        <v>477</v>
      </c>
      <c r="I84" s="1">
        <f>[2]DEPARTAMENTOS!A6</f>
        <v>5</v>
      </c>
      <c r="J84" s="16" t="s">
        <v>6</v>
      </c>
      <c r="K84" s="61" t="str">
        <f>LOWER(_xlfn.TEXTAFTER(TRIM(L84), " ", -1))</f>
        <v>costa</v>
      </c>
      <c r="L84" s="82" t="s">
        <v>283</v>
      </c>
      <c r="N84" s="81">
        <v>1</v>
      </c>
      <c r="T84" s="63" t="s">
        <v>351</v>
      </c>
      <c r="U84" s="63" t="s">
        <v>352</v>
      </c>
      <c r="V84" s="63" t="str">
        <f t="shared" si="5"/>
        <v>LA LIBERTAD-0509-costa</v>
      </c>
      <c r="W84" s="64" t="str">
        <f t="shared" si="6"/>
        <v>0509-010611-001-8</v>
      </c>
      <c r="X84" s="15" t="str">
        <f t="shared" si="7"/>
        <v>LA LIBERTAD costa</v>
      </c>
      <c r="Y84" s="1" t="str">
        <f t="shared" si="8"/>
        <v>0509-010611-001-8 LA LIBERTAD costa</v>
      </c>
      <c r="Z84" s="1" t="str">
        <f t="shared" si="9"/>
        <v>0509 LA LIBERTAD-costa</v>
      </c>
    </row>
    <row r="85" spans="1:29" x14ac:dyDescent="0.4">
      <c r="B85" s="80" t="s">
        <v>464</v>
      </c>
      <c r="C85" s="80" t="s">
        <v>353</v>
      </c>
      <c r="D85" s="80" t="s">
        <v>354</v>
      </c>
      <c r="E85" s="80" t="s">
        <v>348</v>
      </c>
      <c r="F85" s="81">
        <v>0</v>
      </c>
      <c r="G85" s="80">
        <f>[1]DISTRITOS!A85</f>
        <v>84</v>
      </c>
      <c r="H85" s="80" t="s">
        <v>478</v>
      </c>
      <c r="J85" s="16" t="s">
        <v>479</v>
      </c>
      <c r="K85" s="1" t="s">
        <v>331</v>
      </c>
      <c r="L85" s="16" t="s">
        <v>6</v>
      </c>
      <c r="O85" s="81">
        <v>1</v>
      </c>
      <c r="T85" s="63" t="s">
        <v>351</v>
      </c>
      <c r="U85" s="63" t="s">
        <v>352</v>
      </c>
      <c r="V85" s="63" t="str">
        <f t="shared" si="5"/>
        <v>NUEVO CUSCATLAN-0510-ESTE</v>
      </c>
      <c r="W85" s="64" t="str">
        <f t="shared" si="6"/>
        <v>0510-051079-001-0</v>
      </c>
      <c r="X85" s="15" t="str">
        <f t="shared" si="7"/>
        <v>NUEVO CUSCATLAN ESTE</v>
      </c>
      <c r="Y85" s="1" t="str">
        <f t="shared" si="8"/>
        <v>0510-051079-001-0 NUEVO CUSCATLAN ESTE</v>
      </c>
      <c r="Z85" s="1" t="str">
        <f t="shared" si="9"/>
        <v>0510 NUEVO CUSCATLAN-ESTE</v>
      </c>
    </row>
    <row r="86" spans="1:29" x14ac:dyDescent="0.4">
      <c r="A86" s="16" t="s">
        <v>361</v>
      </c>
      <c r="B86" s="80" t="s">
        <v>345</v>
      </c>
      <c r="C86" s="80" t="s">
        <v>346</v>
      </c>
      <c r="D86" s="80" t="s">
        <v>347</v>
      </c>
      <c r="E86" s="80" t="s">
        <v>348</v>
      </c>
      <c r="F86" s="81">
        <v>9</v>
      </c>
      <c r="G86" s="80">
        <f>[1]DISTRITOS!A86</f>
        <v>85</v>
      </c>
      <c r="H86" s="80" t="s">
        <v>480</v>
      </c>
      <c r="J86" s="16" t="s">
        <v>107</v>
      </c>
      <c r="K86" s="1" t="s">
        <v>334</v>
      </c>
      <c r="L86" s="16" t="s">
        <v>6</v>
      </c>
      <c r="R86" s="81">
        <v>1</v>
      </c>
      <c r="T86" s="63" t="s">
        <v>351</v>
      </c>
      <c r="U86" s="63" t="s">
        <v>352</v>
      </c>
      <c r="V86" s="63" t="str">
        <f t="shared" si="5"/>
        <v>SANTA TECLA-0511-SUR</v>
      </c>
      <c r="W86" s="64" t="str">
        <f t="shared" si="6"/>
        <v>0511-010611-001-9</v>
      </c>
      <c r="X86" s="15" t="str">
        <f t="shared" si="7"/>
        <v>SANTA TECLA SUR</v>
      </c>
      <c r="Y86" s="1" t="str">
        <f t="shared" si="8"/>
        <v>0511-010611-001-9 SANTA TECLA SUR</v>
      </c>
      <c r="Z86" s="1" t="str">
        <f t="shared" si="9"/>
        <v>0511 SANTA TECLA-SUR</v>
      </c>
      <c r="AA86" s="82">
        <v>187.25</v>
      </c>
      <c r="AB86" s="83">
        <v>135908</v>
      </c>
      <c r="AC86" s="82">
        <v>725.81</v>
      </c>
    </row>
    <row r="87" spans="1:29" x14ac:dyDescent="0.4">
      <c r="B87" s="80" t="s">
        <v>345</v>
      </c>
      <c r="C87" s="80" t="s">
        <v>346</v>
      </c>
      <c r="D87" s="80" t="s">
        <v>347</v>
      </c>
      <c r="E87" s="80" t="s">
        <v>348</v>
      </c>
      <c r="F87" s="81">
        <v>9</v>
      </c>
      <c r="G87" s="80">
        <f>[1]DISTRITOS!A87</f>
        <v>86</v>
      </c>
      <c r="H87" s="80" t="s">
        <v>481</v>
      </c>
      <c r="J87" s="16" t="s">
        <v>88</v>
      </c>
      <c r="K87" s="1" t="s">
        <v>332</v>
      </c>
      <c r="L87" s="16" t="s">
        <v>6</v>
      </c>
      <c r="P87" s="81">
        <v>1</v>
      </c>
      <c r="T87" s="63" t="s">
        <v>351</v>
      </c>
      <c r="U87" s="63" t="s">
        <v>352</v>
      </c>
      <c r="V87" s="63" t="str">
        <f t="shared" si="5"/>
        <v>QUEZALTEPEQUE-0512-NORTE</v>
      </c>
      <c r="W87" s="64" t="str">
        <f t="shared" si="6"/>
        <v>0512-010611-001-9</v>
      </c>
      <c r="X87" s="15" t="str">
        <f t="shared" si="7"/>
        <v>QUEZALTEPEQUE NORTE</v>
      </c>
      <c r="Y87" s="1" t="str">
        <f t="shared" si="8"/>
        <v>0512-010611-001-9 QUEZALTEPEQUE NORTE</v>
      </c>
      <c r="Z87" s="1" t="str">
        <f t="shared" si="9"/>
        <v>0512 QUEZALTEPEQUE-NORTE</v>
      </c>
      <c r="AA87" s="82">
        <v>307.39</v>
      </c>
      <c r="AB87" s="82">
        <v>94800</v>
      </c>
      <c r="AC87" s="82">
        <v>308.39999999999998</v>
      </c>
    </row>
    <row r="88" spans="1:29" ht="32" x14ac:dyDescent="0.4">
      <c r="B88" s="80" t="s">
        <v>464</v>
      </c>
      <c r="C88" s="80" t="s">
        <v>353</v>
      </c>
      <c r="D88" s="80" t="s">
        <v>354</v>
      </c>
      <c r="E88" s="80" t="s">
        <v>348</v>
      </c>
      <c r="F88" s="81">
        <v>0</v>
      </c>
      <c r="G88" s="80">
        <f>[1]DISTRITOS!A88</f>
        <v>87</v>
      </c>
      <c r="H88" s="80" t="s">
        <v>482</v>
      </c>
      <c r="J88" s="16" t="s">
        <v>95</v>
      </c>
      <c r="K88" s="61" t="s">
        <v>333</v>
      </c>
      <c r="L88" s="16" t="s">
        <v>6</v>
      </c>
      <c r="Q88" s="81">
        <v>1</v>
      </c>
      <c r="T88" s="63" t="s">
        <v>351</v>
      </c>
      <c r="U88" s="63" t="s">
        <v>352</v>
      </c>
      <c r="V88" s="63" t="str">
        <f t="shared" si="5"/>
        <v>SACACOYO-0513-OESTE</v>
      </c>
      <c r="W88" s="64" t="str">
        <f t="shared" si="6"/>
        <v>0513-051079-001-0</v>
      </c>
      <c r="X88" s="15" t="str">
        <f t="shared" si="7"/>
        <v>SACACOYO OESTE</v>
      </c>
      <c r="Y88" s="1" t="str">
        <f t="shared" si="8"/>
        <v>0513-051079-001-0 SACACOYO OESTE</v>
      </c>
      <c r="Z88" s="1" t="str">
        <f t="shared" si="9"/>
        <v>0513 SACACOYO-OESTE</v>
      </c>
    </row>
    <row r="89" spans="1:29" x14ac:dyDescent="0.4">
      <c r="B89" s="80" t="s">
        <v>464</v>
      </c>
      <c r="C89" s="80" t="s">
        <v>353</v>
      </c>
      <c r="D89" s="80" t="s">
        <v>354</v>
      </c>
      <c r="E89" s="80" t="s">
        <v>348</v>
      </c>
      <c r="F89" s="81">
        <v>0</v>
      </c>
      <c r="G89" s="80">
        <f>[1]DISTRITOS!A89</f>
        <v>88</v>
      </c>
      <c r="H89" s="80" t="s">
        <v>483</v>
      </c>
      <c r="J89" s="16" t="s">
        <v>484</v>
      </c>
      <c r="K89" s="1" t="s">
        <v>331</v>
      </c>
      <c r="L89" s="16" t="s">
        <v>6</v>
      </c>
      <c r="O89" s="81">
        <v>1</v>
      </c>
      <c r="T89" s="63" t="s">
        <v>351</v>
      </c>
      <c r="U89" s="63" t="s">
        <v>352</v>
      </c>
      <c r="V89" s="63" t="str">
        <f t="shared" si="5"/>
        <v>SAN JOSE VILLANUEVA-0514-ESTE</v>
      </c>
      <c r="W89" s="64" t="str">
        <f t="shared" si="6"/>
        <v>0514-051079-001-0</v>
      </c>
      <c r="X89" s="15" t="str">
        <f t="shared" si="7"/>
        <v>SAN JOSE VILLANUEVA ESTE</v>
      </c>
      <c r="Y89" s="1" t="str">
        <f t="shared" si="8"/>
        <v>0514-051079-001-0 SAN JOSE VILLANUEVA ESTE</v>
      </c>
      <c r="Z89" s="1" t="str">
        <f t="shared" si="9"/>
        <v>0514 SAN JOSE VILLANUEVA-ESTE</v>
      </c>
    </row>
    <row r="90" spans="1:29" ht="32" x14ac:dyDescent="0.4">
      <c r="A90" s="16" t="s">
        <v>344</v>
      </c>
      <c r="B90" s="80" t="s">
        <v>345</v>
      </c>
      <c r="C90" s="80" t="s">
        <v>346</v>
      </c>
      <c r="D90" s="80" t="s">
        <v>347</v>
      </c>
      <c r="E90" s="80" t="s">
        <v>348</v>
      </c>
      <c r="F90" s="81">
        <v>9</v>
      </c>
      <c r="G90" s="80">
        <f>[1]DISTRITOS!A90</f>
        <v>89</v>
      </c>
      <c r="H90" s="80" t="s">
        <v>485</v>
      </c>
      <c r="J90" s="16" t="s">
        <v>91</v>
      </c>
      <c r="K90" s="61" t="s">
        <v>329</v>
      </c>
      <c r="L90" s="16" t="s">
        <v>6</v>
      </c>
      <c r="M90" s="81">
        <v>1</v>
      </c>
      <c r="T90" s="63" t="s">
        <v>351</v>
      </c>
      <c r="U90" s="63" t="s">
        <v>352</v>
      </c>
      <c r="V90" s="63" t="str">
        <f t="shared" si="5"/>
        <v>SAN JUAN OPICO-0515-CENTRO</v>
      </c>
      <c r="W90" s="64" t="str">
        <f t="shared" si="6"/>
        <v>0515-010611-001-9</v>
      </c>
      <c r="X90" s="15" t="str">
        <f t="shared" si="7"/>
        <v>SAN JUAN OPICO CENTRO</v>
      </c>
      <c r="Y90" s="1" t="str">
        <f t="shared" si="8"/>
        <v>0515-010611-001-9 SAN JUAN OPICO CENTRO</v>
      </c>
      <c r="Z90" s="1" t="str">
        <f t="shared" si="9"/>
        <v>0515 SAN JUAN OPICO-CENTRO</v>
      </c>
      <c r="AA90" s="82">
        <v>305.7</v>
      </c>
      <c r="AB90" s="83">
        <v>141280</v>
      </c>
      <c r="AC90" s="82">
        <v>462.15</v>
      </c>
    </row>
    <row r="91" spans="1:29" x14ac:dyDescent="0.4">
      <c r="B91" s="80" t="s">
        <v>464</v>
      </c>
      <c r="C91" s="80" t="s">
        <v>353</v>
      </c>
      <c r="D91" s="80" t="s">
        <v>354</v>
      </c>
      <c r="E91" s="80" t="s">
        <v>348</v>
      </c>
      <c r="F91" s="81">
        <v>0</v>
      </c>
      <c r="G91" s="80">
        <f>[1]DISTRITOS!A91</f>
        <v>90</v>
      </c>
      <c r="H91" s="80" t="s">
        <v>486</v>
      </c>
      <c r="J91" s="16" t="s">
        <v>487</v>
      </c>
      <c r="K91" s="1" t="s">
        <v>332</v>
      </c>
      <c r="L91" s="16" t="s">
        <v>6</v>
      </c>
      <c r="P91" s="81">
        <v>1</v>
      </c>
      <c r="T91" s="63" t="s">
        <v>351</v>
      </c>
      <c r="U91" s="63" t="s">
        <v>352</v>
      </c>
      <c r="V91" s="63" t="str">
        <f t="shared" si="5"/>
        <v>SAN MATIAS-0516-NORTE</v>
      </c>
      <c r="W91" s="64" t="str">
        <f t="shared" si="6"/>
        <v>0516-051079-001-0</v>
      </c>
      <c r="X91" s="15" t="str">
        <f t="shared" si="7"/>
        <v>SAN MATIAS NORTE</v>
      </c>
      <c r="Y91" s="1" t="str">
        <f t="shared" si="8"/>
        <v>0516-051079-001-0 SAN MATIAS NORTE</v>
      </c>
      <c r="Z91" s="1" t="str">
        <f t="shared" si="9"/>
        <v>0516 SAN MATIAS-NORTE</v>
      </c>
    </row>
    <row r="92" spans="1:29" x14ac:dyDescent="0.4">
      <c r="B92" s="80" t="s">
        <v>464</v>
      </c>
      <c r="C92" s="80" t="s">
        <v>353</v>
      </c>
      <c r="D92" s="80" t="s">
        <v>354</v>
      </c>
      <c r="E92" s="80" t="s">
        <v>348</v>
      </c>
      <c r="F92" s="81">
        <v>0</v>
      </c>
      <c r="G92" s="80">
        <f>[1]DISTRITOS!A92</f>
        <v>91</v>
      </c>
      <c r="H92" s="80" t="s">
        <v>488</v>
      </c>
      <c r="J92" s="16" t="s">
        <v>90</v>
      </c>
      <c r="K92" s="1" t="s">
        <v>332</v>
      </c>
      <c r="L92" s="16" t="s">
        <v>6</v>
      </c>
      <c r="P92" s="81">
        <v>1</v>
      </c>
      <c r="T92" s="63" t="s">
        <v>351</v>
      </c>
      <c r="U92" s="63" t="s">
        <v>352</v>
      </c>
      <c r="V92" s="63" t="str">
        <f t="shared" si="5"/>
        <v>SAN PABLO TACACHICO-0517-NORTE</v>
      </c>
      <c r="W92" s="64" t="str">
        <f t="shared" si="6"/>
        <v>0517-051079-001-0</v>
      </c>
      <c r="X92" s="15" t="str">
        <f t="shared" si="7"/>
        <v>SAN PABLO TACACHICO NORTE</v>
      </c>
      <c r="Y92" s="1" t="str">
        <f t="shared" si="8"/>
        <v>0517-051079-001-0 SAN PABLO TACACHICO NORTE</v>
      </c>
      <c r="Z92" s="1" t="str">
        <f t="shared" si="9"/>
        <v>0517 SAN PABLO TACACHICO-NORTE</v>
      </c>
    </row>
    <row r="93" spans="1:29" x14ac:dyDescent="0.4">
      <c r="B93" s="80" t="s">
        <v>464</v>
      </c>
      <c r="C93" s="80" t="s">
        <v>353</v>
      </c>
      <c r="D93" s="80" t="s">
        <v>354</v>
      </c>
      <c r="E93" s="80" t="s">
        <v>348</v>
      </c>
      <c r="F93" s="81">
        <v>0</v>
      </c>
      <c r="G93" s="80">
        <f>[1]DISTRITOS!A93</f>
        <v>92</v>
      </c>
      <c r="H93" s="80" t="s">
        <v>489</v>
      </c>
      <c r="J93" s="16" t="s">
        <v>105</v>
      </c>
      <c r="K93" s="1" t="s">
        <v>330</v>
      </c>
      <c r="L93" s="16" t="s">
        <v>6</v>
      </c>
      <c r="N93" s="81">
        <v>1</v>
      </c>
      <c r="T93" s="63" t="s">
        <v>351</v>
      </c>
      <c r="U93" s="63" t="s">
        <v>352</v>
      </c>
      <c r="V93" s="63" t="str">
        <f t="shared" si="5"/>
        <v>TAMANIQUE-0518-COSTA</v>
      </c>
      <c r="W93" s="64" t="str">
        <f t="shared" si="6"/>
        <v>0518-051079-001-0</v>
      </c>
      <c r="X93" s="15" t="str">
        <f t="shared" si="7"/>
        <v>TAMANIQUE COSTA</v>
      </c>
      <c r="Y93" s="1" t="str">
        <f t="shared" si="8"/>
        <v>0518-051079-001-0 TAMANIQUE COSTA</v>
      </c>
      <c r="Z93" s="1" t="str">
        <f t="shared" si="9"/>
        <v>0518 TAMANIQUE-COSTA</v>
      </c>
    </row>
    <row r="94" spans="1:29" ht="32" x14ac:dyDescent="0.4">
      <c r="B94" s="80" t="s">
        <v>464</v>
      </c>
      <c r="C94" s="80" t="s">
        <v>353</v>
      </c>
      <c r="D94" s="80" t="s">
        <v>354</v>
      </c>
      <c r="E94" s="80" t="s">
        <v>348</v>
      </c>
      <c r="F94" s="81">
        <v>0</v>
      </c>
      <c r="G94" s="80">
        <f>[1]DISTRITOS!A94</f>
        <v>93</v>
      </c>
      <c r="H94" s="80" t="s">
        <v>490</v>
      </c>
      <c r="J94" s="16" t="s">
        <v>97</v>
      </c>
      <c r="K94" s="61" t="s">
        <v>333</v>
      </c>
      <c r="L94" s="16" t="s">
        <v>6</v>
      </c>
      <c r="Q94" s="81">
        <v>1</v>
      </c>
      <c r="T94" s="63" t="s">
        <v>351</v>
      </c>
      <c r="U94" s="63" t="s">
        <v>352</v>
      </c>
      <c r="V94" s="63" t="str">
        <f t="shared" si="5"/>
        <v>TALNIQUE-0519-OESTE</v>
      </c>
      <c r="W94" s="64" t="str">
        <f t="shared" si="6"/>
        <v>0519-051079-001-0</v>
      </c>
      <c r="X94" s="15" t="str">
        <f t="shared" si="7"/>
        <v>TALNIQUE OESTE</v>
      </c>
      <c r="Y94" s="1" t="str">
        <f t="shared" si="8"/>
        <v>0519-051079-001-0 TALNIQUE OESTE</v>
      </c>
      <c r="Z94" s="1" t="str">
        <f t="shared" si="9"/>
        <v>0519 TALNIQUE-OESTE</v>
      </c>
    </row>
    <row r="95" spans="1:29" x14ac:dyDescent="0.4">
      <c r="B95" s="80" t="s">
        <v>464</v>
      </c>
      <c r="C95" s="80" t="s">
        <v>353</v>
      </c>
      <c r="D95" s="80" t="s">
        <v>354</v>
      </c>
      <c r="E95" s="80" t="s">
        <v>348</v>
      </c>
      <c r="F95" s="81">
        <v>0</v>
      </c>
      <c r="G95" s="80">
        <f>[1]DISTRITOS!A95</f>
        <v>94</v>
      </c>
      <c r="H95" s="80" t="s">
        <v>491</v>
      </c>
      <c r="J95" s="16" t="s">
        <v>106</v>
      </c>
      <c r="K95" s="1" t="s">
        <v>330</v>
      </c>
      <c r="L95" s="16" t="s">
        <v>6</v>
      </c>
      <c r="N95" s="81">
        <v>1</v>
      </c>
      <c r="T95" s="63" t="s">
        <v>351</v>
      </c>
      <c r="U95" s="63" t="s">
        <v>352</v>
      </c>
      <c r="V95" s="63" t="str">
        <f t="shared" si="5"/>
        <v>TEOTEPEQUE-0520-COSTA</v>
      </c>
      <c r="W95" s="64" t="str">
        <f t="shared" si="6"/>
        <v>0520-051079-001-0</v>
      </c>
      <c r="X95" s="15" t="str">
        <f t="shared" si="7"/>
        <v>TEOTEPEQUE COSTA</v>
      </c>
      <c r="Y95" s="1" t="str">
        <f t="shared" si="8"/>
        <v>0520-051079-001-0 TEOTEPEQUE COSTA</v>
      </c>
      <c r="Z95" s="1" t="str">
        <f t="shared" si="9"/>
        <v>0520 TEOTEPEQUE-COSTA</v>
      </c>
    </row>
    <row r="96" spans="1:29" ht="32" x14ac:dyDescent="0.4">
      <c r="B96" s="80" t="s">
        <v>464</v>
      </c>
      <c r="C96" s="80" t="s">
        <v>353</v>
      </c>
      <c r="D96" s="80" t="s">
        <v>354</v>
      </c>
      <c r="E96" s="80" t="s">
        <v>348</v>
      </c>
      <c r="F96" s="81">
        <v>0</v>
      </c>
      <c r="G96" s="80">
        <f>[1]DISTRITOS!A96</f>
        <v>95</v>
      </c>
      <c r="H96" s="80" t="s">
        <v>492</v>
      </c>
      <c r="J96" s="16" t="s">
        <v>96</v>
      </c>
      <c r="K96" s="61" t="s">
        <v>333</v>
      </c>
      <c r="L96" s="16" t="s">
        <v>6</v>
      </c>
      <c r="Q96" s="81">
        <v>1</v>
      </c>
      <c r="T96" s="63" t="s">
        <v>351</v>
      </c>
      <c r="U96" s="63" t="s">
        <v>352</v>
      </c>
      <c r="V96" s="63" t="str">
        <f t="shared" si="5"/>
        <v>TEPECOYO-0521-OESTE</v>
      </c>
      <c r="W96" s="64" t="str">
        <f t="shared" si="6"/>
        <v>0521-051079-001-0</v>
      </c>
      <c r="X96" s="15" t="str">
        <f t="shared" si="7"/>
        <v>TEPECOYO OESTE</v>
      </c>
      <c r="Y96" s="1" t="str">
        <f t="shared" si="8"/>
        <v>0521-051079-001-0 TEPECOYO OESTE</v>
      </c>
      <c r="Z96" s="1" t="str">
        <f t="shared" si="9"/>
        <v>0521 TEPECOYO-OESTE</v>
      </c>
    </row>
    <row r="97" spans="1:29" x14ac:dyDescent="0.4">
      <c r="B97" s="80" t="s">
        <v>464</v>
      </c>
      <c r="C97" s="80" t="s">
        <v>353</v>
      </c>
      <c r="D97" s="80" t="s">
        <v>354</v>
      </c>
      <c r="E97" s="80" t="s">
        <v>348</v>
      </c>
      <c r="F97" s="81">
        <v>0</v>
      </c>
      <c r="G97" s="80">
        <f>[1]DISTRITOS!A97</f>
        <v>96</v>
      </c>
      <c r="H97" s="80" t="s">
        <v>493</v>
      </c>
      <c r="J97" s="16" t="s">
        <v>102</v>
      </c>
      <c r="K97" s="1" t="s">
        <v>331</v>
      </c>
      <c r="L97" s="16" t="s">
        <v>6</v>
      </c>
      <c r="O97" s="81">
        <v>1</v>
      </c>
      <c r="T97" s="63" t="s">
        <v>351</v>
      </c>
      <c r="U97" s="63" t="s">
        <v>352</v>
      </c>
      <c r="V97" s="63" t="str">
        <f t="shared" si="5"/>
        <v>ZARAGOZA-0522-ESTE</v>
      </c>
      <c r="W97" s="64" t="str">
        <f t="shared" si="6"/>
        <v>0522-051079-001-0</v>
      </c>
      <c r="X97" s="15" t="str">
        <f t="shared" si="7"/>
        <v>ZARAGOZA ESTE</v>
      </c>
      <c r="Y97" s="1" t="str">
        <f t="shared" si="8"/>
        <v>0522-051079-001-0 ZARAGOZA ESTE</v>
      </c>
      <c r="Z97" s="1" t="str">
        <f t="shared" si="9"/>
        <v>0522 ZARAGOZA-ESTE</v>
      </c>
    </row>
    <row r="98" spans="1:29" x14ac:dyDescent="0.4">
      <c r="A98" s="15" t="s">
        <v>356</v>
      </c>
      <c r="B98" s="84" t="s">
        <v>346</v>
      </c>
      <c r="C98" s="84" t="s">
        <v>353</v>
      </c>
      <c r="D98" s="84" t="s">
        <v>354</v>
      </c>
      <c r="E98" s="84" t="s">
        <v>348</v>
      </c>
      <c r="F98" s="85">
        <v>9</v>
      </c>
      <c r="G98" s="84">
        <f>[1]DISTRITOS!A98</f>
        <v>97</v>
      </c>
      <c r="H98" s="84" t="s">
        <v>494</v>
      </c>
      <c r="I98" s="15"/>
      <c r="J98" s="15" t="s">
        <v>109</v>
      </c>
      <c r="K98" s="1" t="s">
        <v>332</v>
      </c>
      <c r="L98" s="15" t="s">
        <v>7</v>
      </c>
      <c r="M98" s="85"/>
      <c r="N98" s="85"/>
      <c r="O98" s="85"/>
      <c r="P98" s="85">
        <v>1</v>
      </c>
      <c r="Q98" s="85"/>
      <c r="R98" s="85"/>
      <c r="S98" s="15"/>
      <c r="T98" s="63" t="s">
        <v>351</v>
      </c>
      <c r="U98" s="63" t="s">
        <v>352</v>
      </c>
      <c r="V98" s="63" t="str">
        <f t="shared" si="5"/>
        <v>AGUILARES-0601-NORTE</v>
      </c>
      <c r="W98" s="64" t="str">
        <f t="shared" si="6"/>
        <v>0601-061079-001-9</v>
      </c>
      <c r="X98" s="15" t="str">
        <f t="shared" si="7"/>
        <v>AGUILARES NORTE</v>
      </c>
      <c r="Y98" s="1" t="str">
        <f t="shared" si="8"/>
        <v>0601-061079-001-9 AGUILARES NORTE</v>
      </c>
      <c r="Z98" s="1" t="str">
        <f t="shared" si="9"/>
        <v>0601 AGUILARES-NORTE</v>
      </c>
      <c r="AA98" s="86">
        <v>222.86</v>
      </c>
      <c r="AB98" s="87">
        <v>58724</v>
      </c>
      <c r="AC98" s="86">
        <v>263.5</v>
      </c>
    </row>
    <row r="99" spans="1:29" ht="32" x14ac:dyDescent="0.4">
      <c r="A99" s="15" t="s">
        <v>371</v>
      </c>
      <c r="B99" s="84" t="s">
        <v>433</v>
      </c>
      <c r="C99" s="84" t="s">
        <v>346</v>
      </c>
      <c r="D99" s="84" t="s">
        <v>393</v>
      </c>
      <c r="E99" s="84" t="s">
        <v>348</v>
      </c>
      <c r="F99" s="85">
        <v>3</v>
      </c>
      <c r="G99" s="84">
        <f>[1]DISTRITOS!A99</f>
        <v>98</v>
      </c>
      <c r="H99" s="84" t="s">
        <v>495</v>
      </c>
      <c r="J99" s="15" t="s">
        <v>112</v>
      </c>
      <c r="K99" s="61" t="s">
        <v>333</v>
      </c>
      <c r="L99" s="15" t="s">
        <v>7</v>
      </c>
      <c r="Q99" s="85">
        <v>1</v>
      </c>
      <c r="T99" s="63" t="s">
        <v>351</v>
      </c>
      <c r="U99" s="63" t="s">
        <v>352</v>
      </c>
      <c r="V99" s="63" t="str">
        <f t="shared" si="5"/>
        <v>APOPA-0602-OESTE</v>
      </c>
      <c r="W99" s="64" t="str">
        <f t="shared" si="6"/>
        <v>0602-300678-001-3</v>
      </c>
      <c r="X99" s="15" t="str">
        <f t="shared" si="7"/>
        <v>APOPA OESTE</v>
      </c>
      <c r="Y99" s="1" t="str">
        <f t="shared" si="8"/>
        <v>0602-300678-001-3 APOPA OESTE</v>
      </c>
      <c r="Z99" s="1" t="str">
        <f t="shared" si="9"/>
        <v>0602 APOPA-OESTE</v>
      </c>
      <c r="AA99" s="86">
        <v>135.19999999999999</v>
      </c>
      <c r="AB99" s="87">
        <v>227986</v>
      </c>
      <c r="AC99" s="88">
        <v>1686.29</v>
      </c>
    </row>
    <row r="100" spans="1:29" ht="32" x14ac:dyDescent="0.4">
      <c r="B100" s="84" t="s">
        <v>345</v>
      </c>
      <c r="C100" s="84" t="s">
        <v>346</v>
      </c>
      <c r="D100" s="84" t="s">
        <v>347</v>
      </c>
      <c r="E100" s="84" t="s">
        <v>496</v>
      </c>
      <c r="F100" s="85">
        <v>8</v>
      </c>
      <c r="G100" s="84">
        <f>[1]DISTRITOS!A100</f>
        <v>99</v>
      </c>
      <c r="H100" s="84" t="s">
        <v>497</v>
      </c>
      <c r="J100" s="15" t="s">
        <v>118</v>
      </c>
      <c r="K100" s="61" t="s">
        <v>329</v>
      </c>
      <c r="L100" s="15" t="s">
        <v>7</v>
      </c>
      <c r="M100" s="85">
        <v>1</v>
      </c>
      <c r="T100" s="63" t="s">
        <v>351</v>
      </c>
      <c r="U100" s="63" t="s">
        <v>352</v>
      </c>
      <c r="V100" s="63" t="str">
        <f t="shared" si="5"/>
        <v>AYUTUXTEPEQUE-0603-CENTRO</v>
      </c>
      <c r="W100" s="64" t="str">
        <f t="shared" si="6"/>
        <v>0603-010611-005-8</v>
      </c>
      <c r="X100" s="15" t="str">
        <f t="shared" si="7"/>
        <v>AYUTUXTEPEQUE CENTRO</v>
      </c>
      <c r="Y100" s="1" t="str">
        <f t="shared" si="8"/>
        <v>0603-010611-005-8 AYUTUXTEPEQUE CENTRO</v>
      </c>
      <c r="Z100" s="1" t="str">
        <f t="shared" si="9"/>
        <v>0603 AYUTUXTEPEQUE-CENTRO</v>
      </c>
    </row>
    <row r="101" spans="1:29" ht="32" x14ac:dyDescent="0.4">
      <c r="B101" s="84" t="s">
        <v>498</v>
      </c>
      <c r="C101" s="84" t="s">
        <v>499</v>
      </c>
      <c r="D101" s="84" t="s">
        <v>500</v>
      </c>
      <c r="E101" s="84" t="s">
        <v>348</v>
      </c>
      <c r="F101" s="85">
        <v>8</v>
      </c>
      <c r="G101" s="84">
        <f>[1]DISTRITOS!A101</f>
        <v>100</v>
      </c>
      <c r="H101" s="84" t="s">
        <v>501</v>
      </c>
      <c r="J101" s="15" t="s">
        <v>120</v>
      </c>
      <c r="K101" s="61" t="s">
        <v>329</v>
      </c>
      <c r="L101" s="15" t="s">
        <v>7</v>
      </c>
      <c r="M101" s="85">
        <v>1</v>
      </c>
      <c r="T101" s="63" t="s">
        <v>351</v>
      </c>
      <c r="U101" s="63" t="s">
        <v>352</v>
      </c>
      <c r="V101" s="63" t="str">
        <f t="shared" si="5"/>
        <v>CUSCATANCINGO-0604-CENTRO</v>
      </c>
      <c r="W101" s="64" t="str">
        <f t="shared" si="6"/>
        <v>0604-070977-001-8</v>
      </c>
      <c r="X101" s="15" t="str">
        <f t="shared" si="7"/>
        <v>CUSCATANCINGO CENTRO</v>
      </c>
      <c r="Y101" s="1" t="str">
        <f t="shared" si="8"/>
        <v>0604-070977-001-8 CUSCATANCINGO CENTRO</v>
      </c>
      <c r="Z101" s="1" t="str">
        <f t="shared" si="9"/>
        <v>0604 CUSCATANCINGO-CENTRO</v>
      </c>
    </row>
    <row r="102" spans="1:29" x14ac:dyDescent="0.4">
      <c r="B102" s="84" t="s">
        <v>346</v>
      </c>
      <c r="C102" s="84" t="s">
        <v>353</v>
      </c>
      <c r="D102" s="84" t="s">
        <v>354</v>
      </c>
      <c r="E102" s="84" t="s">
        <v>348</v>
      </c>
      <c r="F102" s="85">
        <v>9</v>
      </c>
      <c r="G102" s="84">
        <f>[1]DISTRITOS!A102</f>
        <v>101</v>
      </c>
      <c r="H102" s="84" t="s">
        <v>502</v>
      </c>
      <c r="J102" s="15" t="s">
        <v>110</v>
      </c>
      <c r="K102" s="1" t="s">
        <v>332</v>
      </c>
      <c r="L102" s="15" t="s">
        <v>7</v>
      </c>
      <c r="P102" s="85">
        <v>1</v>
      </c>
      <c r="T102" s="63" t="s">
        <v>351</v>
      </c>
      <c r="U102" s="63" t="s">
        <v>352</v>
      </c>
      <c r="V102" s="63" t="str">
        <f t="shared" si="5"/>
        <v>EL PAISNAL-0605-NORTE</v>
      </c>
      <c r="W102" s="64" t="str">
        <f t="shared" si="6"/>
        <v>0605-061079-001-9</v>
      </c>
      <c r="X102" s="15" t="str">
        <f t="shared" si="7"/>
        <v>EL PAISNAL NORTE</v>
      </c>
      <c r="Y102" s="1" t="str">
        <f t="shared" si="8"/>
        <v>0605-061079-001-9 EL PAISNAL NORTE</v>
      </c>
      <c r="Z102" s="1" t="str">
        <f t="shared" si="9"/>
        <v>0605 EL PAISNAL-NORTE</v>
      </c>
    </row>
    <row r="103" spans="1:29" x14ac:dyDescent="0.4">
      <c r="B103" s="84" t="s">
        <v>346</v>
      </c>
      <c r="C103" s="84" t="s">
        <v>353</v>
      </c>
      <c r="D103" s="84" t="s">
        <v>354</v>
      </c>
      <c r="E103" s="84" t="s">
        <v>348</v>
      </c>
      <c r="F103" s="85">
        <v>9</v>
      </c>
      <c r="G103" s="84">
        <f>[1]DISTRITOS!A103</f>
        <v>102</v>
      </c>
      <c r="H103" s="84" t="s">
        <v>503</v>
      </c>
      <c r="J103" s="15" t="s">
        <v>111</v>
      </c>
      <c r="K103" s="1" t="s">
        <v>332</v>
      </c>
      <c r="L103" s="15" t="s">
        <v>7</v>
      </c>
      <c r="P103" s="85">
        <v>1</v>
      </c>
      <c r="T103" s="63" t="s">
        <v>351</v>
      </c>
      <c r="U103" s="63" t="s">
        <v>352</v>
      </c>
      <c r="V103" s="63" t="str">
        <f t="shared" si="5"/>
        <v>GUAZAPA-0606-NORTE</v>
      </c>
      <c r="W103" s="64" t="str">
        <f t="shared" si="6"/>
        <v>0606-061079-001-9</v>
      </c>
      <c r="X103" s="15" t="str">
        <f t="shared" si="7"/>
        <v>GUAZAPA NORTE</v>
      </c>
      <c r="Y103" s="1" t="str">
        <f t="shared" si="8"/>
        <v>0606-061079-001-9 GUAZAPA NORTE</v>
      </c>
      <c r="Z103" s="1" t="str">
        <f t="shared" si="9"/>
        <v>0606 GUAZAPA-NORTE</v>
      </c>
    </row>
    <row r="104" spans="1:29" x14ac:dyDescent="0.4">
      <c r="A104" s="15" t="s">
        <v>373</v>
      </c>
      <c r="B104" s="84" t="s">
        <v>345</v>
      </c>
      <c r="C104" s="84" t="s">
        <v>346</v>
      </c>
      <c r="D104" s="84" t="s">
        <v>347</v>
      </c>
      <c r="E104" s="84" t="s">
        <v>348</v>
      </c>
      <c r="F104" s="85">
        <v>0</v>
      </c>
      <c r="G104" s="84">
        <f>[1]DISTRITOS!A104</f>
        <v>103</v>
      </c>
      <c r="H104" s="84" t="s">
        <v>504</v>
      </c>
      <c r="J104" s="15" t="s">
        <v>114</v>
      </c>
      <c r="K104" s="1" t="s">
        <v>331</v>
      </c>
      <c r="L104" s="15" t="s">
        <v>7</v>
      </c>
      <c r="O104" s="85">
        <v>1</v>
      </c>
      <c r="T104" s="63" t="s">
        <v>351</v>
      </c>
      <c r="U104" s="63" t="s">
        <v>352</v>
      </c>
      <c r="V104" s="63" t="str">
        <f t="shared" si="5"/>
        <v>ILOPANGO-0607-ESTE</v>
      </c>
      <c r="W104" s="64" t="str">
        <f t="shared" si="6"/>
        <v>0607-010611-001-0</v>
      </c>
      <c r="X104" s="15" t="str">
        <f t="shared" si="7"/>
        <v>ILOPANGO ESTE</v>
      </c>
      <c r="Y104" s="1" t="str">
        <f t="shared" si="8"/>
        <v>0607-010611-001-0 ILOPANGO ESTE</v>
      </c>
      <c r="Z104" s="1" t="str">
        <f t="shared" si="9"/>
        <v>0607 ILOPANGO-ESTE</v>
      </c>
      <c r="AA104" s="86">
        <v>187.74</v>
      </c>
      <c r="AB104" s="87">
        <v>550739</v>
      </c>
      <c r="AC104" s="88">
        <v>2933.52</v>
      </c>
    </row>
    <row r="105" spans="1:29" ht="32" x14ac:dyDescent="0.4">
      <c r="B105" s="84" t="s">
        <v>345</v>
      </c>
      <c r="C105" s="84" t="s">
        <v>346</v>
      </c>
      <c r="D105" s="84" t="s">
        <v>347</v>
      </c>
      <c r="E105" s="84" t="s">
        <v>505</v>
      </c>
      <c r="F105" s="85">
        <v>6</v>
      </c>
      <c r="G105" s="84">
        <f>[1]DISTRITOS!A105</f>
        <v>104</v>
      </c>
      <c r="H105" s="84" t="s">
        <v>506</v>
      </c>
      <c r="J105" s="15" t="s">
        <v>119</v>
      </c>
      <c r="K105" s="61" t="s">
        <v>329</v>
      </c>
      <c r="L105" s="15" t="s">
        <v>7</v>
      </c>
      <c r="M105" s="85">
        <v>1</v>
      </c>
      <c r="T105" s="63" t="s">
        <v>351</v>
      </c>
      <c r="U105" s="63" t="s">
        <v>352</v>
      </c>
      <c r="V105" s="63" t="str">
        <f t="shared" si="5"/>
        <v>MEJICANOS-0608-CENTRO</v>
      </c>
      <c r="W105" s="64" t="str">
        <f t="shared" si="6"/>
        <v>0608-010611-004-6</v>
      </c>
      <c r="X105" s="15" t="str">
        <f t="shared" si="7"/>
        <v>MEJICANOS CENTRO</v>
      </c>
      <c r="Y105" s="1" t="str">
        <f t="shared" si="8"/>
        <v>0608-010611-004-6 MEJICANOS CENTRO</v>
      </c>
      <c r="Z105" s="1" t="str">
        <f t="shared" si="9"/>
        <v>0608 MEJICANOS-CENTRO</v>
      </c>
    </row>
    <row r="106" spans="1:29" ht="32" x14ac:dyDescent="0.4">
      <c r="B106" s="84" t="s">
        <v>353</v>
      </c>
      <c r="C106" s="84" t="s">
        <v>353</v>
      </c>
      <c r="D106" s="84" t="s">
        <v>500</v>
      </c>
      <c r="E106" s="84" t="s">
        <v>348</v>
      </c>
      <c r="F106" s="85">
        <v>0</v>
      </c>
      <c r="G106" s="84">
        <f>[1]DISTRITOS!A106</f>
        <v>105</v>
      </c>
      <c r="H106" s="84" t="s">
        <v>507</v>
      </c>
      <c r="J106" s="15" t="s">
        <v>113</v>
      </c>
      <c r="K106" s="61" t="s">
        <v>333</v>
      </c>
      <c r="L106" s="15" t="s">
        <v>7</v>
      </c>
      <c r="Q106" s="85">
        <v>1</v>
      </c>
      <c r="T106" s="63" t="s">
        <v>351</v>
      </c>
      <c r="U106" s="63" t="s">
        <v>352</v>
      </c>
      <c r="V106" s="63" t="str">
        <f t="shared" si="5"/>
        <v>NEJAPA-0609-OESTE</v>
      </c>
      <c r="W106" s="64" t="str">
        <f t="shared" si="6"/>
        <v>0609-101077-001-0</v>
      </c>
      <c r="X106" s="15" t="str">
        <f t="shared" si="7"/>
        <v>NEJAPA OESTE</v>
      </c>
      <c r="Y106" s="1" t="str">
        <f t="shared" si="8"/>
        <v>0609-101077-001-0 NEJAPA OESTE</v>
      </c>
      <c r="Z106" s="1" t="str">
        <f t="shared" si="9"/>
        <v>0609 NEJAPA-OESTE</v>
      </c>
    </row>
    <row r="107" spans="1:29" x14ac:dyDescent="0.4">
      <c r="B107" s="84" t="s">
        <v>346</v>
      </c>
      <c r="C107" s="84" t="s">
        <v>353</v>
      </c>
      <c r="D107" s="84" t="s">
        <v>354</v>
      </c>
      <c r="E107" s="84" t="s">
        <v>348</v>
      </c>
      <c r="F107" s="85">
        <v>0</v>
      </c>
      <c r="G107" s="84">
        <f>[1]DISTRITOS!A107</f>
        <v>106</v>
      </c>
      <c r="H107" s="84" t="s">
        <v>508</v>
      </c>
      <c r="J107" s="15" t="s">
        <v>125</v>
      </c>
      <c r="K107" s="1" t="s">
        <v>334</v>
      </c>
      <c r="L107" s="15" t="s">
        <v>7</v>
      </c>
      <c r="R107" s="85">
        <v>1</v>
      </c>
      <c r="T107" s="63" t="s">
        <v>351</v>
      </c>
      <c r="U107" s="63" t="s">
        <v>352</v>
      </c>
      <c r="V107" s="63" t="str">
        <f t="shared" si="5"/>
        <v>PANCHIMALCO-0610-SUR</v>
      </c>
      <c r="W107" s="64" t="str">
        <f t="shared" si="6"/>
        <v>0610-061079-001-0</v>
      </c>
      <c r="X107" s="15" t="str">
        <f t="shared" si="7"/>
        <v>PANCHIMALCO SUR</v>
      </c>
      <c r="Y107" s="1" t="str">
        <f t="shared" si="8"/>
        <v>0610-061079-001-0 PANCHIMALCO SUR</v>
      </c>
      <c r="Z107" s="1" t="str">
        <f t="shared" si="9"/>
        <v>0610 PANCHIMALCO-SUR</v>
      </c>
    </row>
    <row r="108" spans="1:29" x14ac:dyDescent="0.4">
      <c r="B108" s="84" t="s">
        <v>346</v>
      </c>
      <c r="C108" s="84" t="s">
        <v>353</v>
      </c>
      <c r="D108" s="84" t="s">
        <v>354</v>
      </c>
      <c r="E108" s="84" t="s">
        <v>348</v>
      </c>
      <c r="F108" s="85">
        <v>0</v>
      </c>
      <c r="G108" s="84">
        <f>[1]DISTRITOS!A108</f>
        <v>107</v>
      </c>
      <c r="H108" s="84" t="s">
        <v>509</v>
      </c>
      <c r="J108" s="15" t="s">
        <v>126</v>
      </c>
      <c r="K108" s="1" t="s">
        <v>334</v>
      </c>
      <c r="L108" s="15" t="s">
        <v>7</v>
      </c>
      <c r="R108" s="85">
        <v>1</v>
      </c>
      <c r="T108" s="63" t="s">
        <v>351</v>
      </c>
      <c r="U108" s="63" t="s">
        <v>352</v>
      </c>
      <c r="V108" s="63" t="str">
        <f t="shared" si="5"/>
        <v>ROSARIO DE MORA-0611-SUR</v>
      </c>
      <c r="W108" s="64" t="str">
        <f t="shared" si="6"/>
        <v>0611-061079-001-0</v>
      </c>
      <c r="X108" s="15" t="str">
        <f t="shared" si="7"/>
        <v>ROSARIO DE MORA SUR</v>
      </c>
      <c r="Y108" s="1" t="str">
        <f t="shared" si="8"/>
        <v>0611-061079-001-0 ROSARIO DE MORA SUR</v>
      </c>
      <c r="Z108" s="1" t="str">
        <f t="shared" si="9"/>
        <v>0611 ROSARIO DE MORA-SUR</v>
      </c>
    </row>
    <row r="109" spans="1:29" x14ac:dyDescent="0.4">
      <c r="A109" s="15" t="s">
        <v>361</v>
      </c>
      <c r="B109" s="84" t="s">
        <v>345</v>
      </c>
      <c r="C109" s="84" t="s">
        <v>346</v>
      </c>
      <c r="D109" s="84" t="s">
        <v>347</v>
      </c>
      <c r="E109" s="84" t="s">
        <v>348</v>
      </c>
      <c r="F109" s="85">
        <v>0</v>
      </c>
      <c r="G109" s="84">
        <f>[1]DISTRITOS!A109</f>
        <v>108</v>
      </c>
      <c r="H109" s="84" t="s">
        <v>510</v>
      </c>
      <c r="J109" s="15" t="s">
        <v>122</v>
      </c>
      <c r="K109" s="1" t="s">
        <v>334</v>
      </c>
      <c r="L109" s="15" t="s">
        <v>7</v>
      </c>
      <c r="R109" s="85">
        <v>1</v>
      </c>
      <c r="T109" s="63" t="s">
        <v>351</v>
      </c>
      <c r="U109" s="63" t="s">
        <v>352</v>
      </c>
      <c r="V109" s="63" t="str">
        <f t="shared" si="5"/>
        <v>SAN MARCOS-0612-SUR</v>
      </c>
      <c r="W109" s="64" t="str">
        <f t="shared" si="6"/>
        <v>0612-010611-001-0</v>
      </c>
      <c r="X109" s="15" t="str">
        <f t="shared" si="7"/>
        <v>SAN MARCOS SUR</v>
      </c>
      <c r="Y109" s="1" t="str">
        <f t="shared" si="8"/>
        <v>0612-010611-001-0 SAN MARCOS SUR</v>
      </c>
      <c r="Z109" s="1" t="str">
        <f t="shared" si="9"/>
        <v>0612 SAN MARCOS-SUR</v>
      </c>
      <c r="AA109" s="86">
        <v>198.75</v>
      </c>
      <c r="AB109" s="87">
        <v>160618</v>
      </c>
      <c r="AC109" s="86">
        <v>808.14</v>
      </c>
    </row>
    <row r="110" spans="1:29" x14ac:dyDescent="0.4">
      <c r="B110" s="84" t="s">
        <v>353</v>
      </c>
      <c r="C110" s="84" t="s">
        <v>511</v>
      </c>
      <c r="D110" s="84" t="s">
        <v>500</v>
      </c>
      <c r="E110" s="84" t="s">
        <v>348</v>
      </c>
      <c r="F110" s="85">
        <v>4</v>
      </c>
      <c r="G110" s="84">
        <f>[1]DISTRITOS!A110</f>
        <v>109</v>
      </c>
      <c r="H110" s="84" t="s">
        <v>512</v>
      </c>
      <c r="J110" s="15" t="s">
        <v>513</v>
      </c>
      <c r="K110" s="1" t="s">
        <v>331</v>
      </c>
      <c r="L110" s="15" t="s">
        <v>7</v>
      </c>
      <c r="O110" s="85">
        <v>1</v>
      </c>
      <c r="T110" s="63" t="s">
        <v>351</v>
      </c>
      <c r="U110" s="63" t="s">
        <v>352</v>
      </c>
      <c r="V110" s="63" t="str">
        <f t="shared" si="5"/>
        <v>SAN MARTIN-0613-ESTE</v>
      </c>
      <c r="W110" s="64" t="str">
        <f t="shared" si="6"/>
        <v>0613-100877-001-4</v>
      </c>
      <c r="X110" s="15" t="str">
        <f t="shared" si="7"/>
        <v>SAN MARTIN ESTE</v>
      </c>
      <c r="Y110" s="1" t="str">
        <f t="shared" si="8"/>
        <v>0613-100877-001-4 SAN MARTIN ESTE</v>
      </c>
      <c r="Z110" s="1" t="str">
        <f t="shared" si="9"/>
        <v>0613 SAN MARTIN-ESTE</v>
      </c>
    </row>
    <row r="111" spans="1:29" ht="32" x14ac:dyDescent="0.4">
      <c r="A111" s="15" t="s">
        <v>344</v>
      </c>
      <c r="B111" s="84" t="s">
        <v>345</v>
      </c>
      <c r="C111" s="84" t="s">
        <v>346</v>
      </c>
      <c r="D111" s="84" t="s">
        <v>347</v>
      </c>
      <c r="E111" s="84" t="s">
        <v>380</v>
      </c>
      <c r="F111" s="85">
        <v>2</v>
      </c>
      <c r="G111" s="84">
        <f>[1]DISTRITOS!A111</f>
        <v>110</v>
      </c>
      <c r="H111" s="84" t="s">
        <v>514</v>
      </c>
      <c r="I111" s="1">
        <f>[2]DEPARTAMENTOS!A7</f>
        <v>6</v>
      </c>
      <c r="J111" s="15" t="s">
        <v>7</v>
      </c>
      <c r="K111" s="61" t="s">
        <v>329</v>
      </c>
      <c r="L111" s="86" t="s">
        <v>288</v>
      </c>
      <c r="M111" s="85">
        <v>1</v>
      </c>
      <c r="T111" s="63" t="s">
        <v>351</v>
      </c>
      <c r="U111" s="63" t="s">
        <v>352</v>
      </c>
      <c r="V111" s="63" t="str">
        <f t="shared" si="5"/>
        <v>SAN SALVADOR-0614-CENTRO</v>
      </c>
      <c r="W111" s="64" t="str">
        <f t="shared" si="6"/>
        <v>0614-010611-002-2</v>
      </c>
      <c r="X111" s="15" t="str">
        <f t="shared" si="7"/>
        <v>SAN SALVADOR CENTRO</v>
      </c>
      <c r="Y111" s="1" t="str">
        <f t="shared" si="8"/>
        <v>0614-010611-002-2 SAN SALVADOR CENTRO</v>
      </c>
      <c r="Z111" s="1" t="str">
        <f t="shared" si="9"/>
        <v>0614 SAN SALVADOR-CENTRO</v>
      </c>
      <c r="AA111" s="86">
        <v>141.6</v>
      </c>
      <c r="AB111" s="87">
        <v>702061</v>
      </c>
      <c r="AC111" s="88">
        <v>4958.0600000000004</v>
      </c>
    </row>
    <row r="112" spans="1:29" x14ac:dyDescent="0.4">
      <c r="B112" s="84" t="s">
        <v>346</v>
      </c>
      <c r="C112" s="84" t="s">
        <v>353</v>
      </c>
      <c r="D112" s="84" t="s">
        <v>354</v>
      </c>
      <c r="E112" s="84" t="s">
        <v>348</v>
      </c>
      <c r="F112" s="85">
        <v>0</v>
      </c>
      <c r="G112" s="84">
        <f>[1]DISTRITOS!A112</f>
        <v>111</v>
      </c>
      <c r="H112" s="84" t="s">
        <v>515</v>
      </c>
      <c r="J112" s="15" t="s">
        <v>124</v>
      </c>
      <c r="K112" s="1" t="s">
        <v>334</v>
      </c>
      <c r="L112" s="15" t="s">
        <v>7</v>
      </c>
      <c r="R112" s="85">
        <v>1</v>
      </c>
      <c r="T112" s="63" t="s">
        <v>351</v>
      </c>
      <c r="U112" s="63" t="s">
        <v>352</v>
      </c>
      <c r="V112" s="63" t="str">
        <f t="shared" si="5"/>
        <v>SANTIAGO TEXACUANGOS-0615-SUR</v>
      </c>
      <c r="W112" s="64" t="str">
        <f t="shared" si="6"/>
        <v>0615-061079-001-0</v>
      </c>
      <c r="X112" s="15" t="str">
        <f t="shared" si="7"/>
        <v>SANTIAGO TEXACUANGOS SUR</v>
      </c>
      <c r="Y112" s="1" t="str">
        <f t="shared" si="8"/>
        <v>0615-061079-001-0 SANTIAGO TEXACUANGOS SUR</v>
      </c>
      <c r="Z112" s="1" t="str">
        <f t="shared" si="9"/>
        <v>0615 SANTIAGO TEXACUANGOS-SUR</v>
      </c>
    </row>
    <row r="113" spans="1:29" x14ac:dyDescent="0.4">
      <c r="B113" s="84" t="s">
        <v>346</v>
      </c>
      <c r="C113" s="84" t="s">
        <v>353</v>
      </c>
      <c r="D113" s="84" t="s">
        <v>354</v>
      </c>
      <c r="E113" s="84" t="s">
        <v>348</v>
      </c>
      <c r="F113" s="85">
        <v>0</v>
      </c>
      <c r="G113" s="84">
        <f>[1]DISTRITOS!A113</f>
        <v>112</v>
      </c>
      <c r="H113" s="84" t="s">
        <v>516</v>
      </c>
      <c r="J113" s="15" t="s">
        <v>517</v>
      </c>
      <c r="K113" s="1" t="s">
        <v>334</v>
      </c>
      <c r="L113" s="15" t="s">
        <v>7</v>
      </c>
      <c r="R113" s="85">
        <v>1</v>
      </c>
      <c r="T113" s="63" t="s">
        <v>351</v>
      </c>
      <c r="U113" s="63" t="s">
        <v>352</v>
      </c>
      <c r="V113" s="63" t="str">
        <f t="shared" si="5"/>
        <v>SANTO TOMAS-0616-SUR</v>
      </c>
      <c r="W113" s="64" t="str">
        <f t="shared" si="6"/>
        <v>0616-061079-001-0</v>
      </c>
      <c r="X113" s="15" t="str">
        <f t="shared" si="7"/>
        <v>SANTO TOMAS SUR</v>
      </c>
      <c r="Y113" s="1" t="str">
        <f t="shared" si="8"/>
        <v>0616-061079-001-0 SANTO TOMAS SUR</v>
      </c>
      <c r="Z113" s="1" t="str">
        <f t="shared" si="9"/>
        <v>0616 SANTO TOMAS-SUR</v>
      </c>
    </row>
    <row r="114" spans="1:29" x14ac:dyDescent="0.4">
      <c r="B114" s="84" t="s">
        <v>345</v>
      </c>
      <c r="C114" s="84" t="s">
        <v>346</v>
      </c>
      <c r="D114" s="84" t="s">
        <v>347</v>
      </c>
      <c r="E114" s="84" t="s">
        <v>348</v>
      </c>
      <c r="F114" s="85">
        <v>0</v>
      </c>
      <c r="G114" s="84">
        <f>[1]DISTRITOS!A114</f>
        <v>113</v>
      </c>
      <c r="H114" s="84" t="s">
        <v>518</v>
      </c>
      <c r="J114" s="15" t="s">
        <v>116</v>
      </c>
      <c r="K114" s="1" t="s">
        <v>331</v>
      </c>
      <c r="L114" s="15" t="s">
        <v>7</v>
      </c>
      <c r="O114" s="85">
        <v>1</v>
      </c>
      <c r="T114" s="63" t="s">
        <v>351</v>
      </c>
      <c r="U114" s="63" t="s">
        <v>352</v>
      </c>
      <c r="V114" s="63" t="str">
        <f t="shared" si="5"/>
        <v>SOYAPANGO-0617-ESTE</v>
      </c>
      <c r="W114" s="64" t="str">
        <f t="shared" si="6"/>
        <v>0617-010611-001-0</v>
      </c>
      <c r="X114" s="15" t="str">
        <f t="shared" si="7"/>
        <v>SOYAPANGO ESTE</v>
      </c>
      <c r="Y114" s="1" t="str">
        <f t="shared" si="8"/>
        <v>0617-010611-001-0 SOYAPANGO ESTE</v>
      </c>
      <c r="Z114" s="1" t="str">
        <f t="shared" si="9"/>
        <v>0617 SOYAPANGO-ESTE</v>
      </c>
    </row>
    <row r="115" spans="1:29" x14ac:dyDescent="0.4">
      <c r="B115" s="84" t="s">
        <v>346</v>
      </c>
      <c r="C115" s="84" t="s">
        <v>376</v>
      </c>
      <c r="D115" s="84" t="s">
        <v>393</v>
      </c>
      <c r="E115" s="84" t="s">
        <v>348</v>
      </c>
      <c r="F115" s="85">
        <v>1</v>
      </c>
      <c r="G115" s="84">
        <f>[1]DISTRITOS!A115</f>
        <v>114</v>
      </c>
      <c r="H115" s="84" t="s">
        <v>519</v>
      </c>
      <c r="J115" s="15" t="s">
        <v>117</v>
      </c>
      <c r="K115" s="1" t="s">
        <v>331</v>
      </c>
      <c r="L115" s="15" t="s">
        <v>7</v>
      </c>
      <c r="O115" s="85">
        <v>1</v>
      </c>
      <c r="T115" s="63" t="s">
        <v>351</v>
      </c>
      <c r="U115" s="63" t="s">
        <v>352</v>
      </c>
      <c r="V115" s="63" t="str">
        <f t="shared" si="5"/>
        <v>TONACATEPEQUE-0618-ESTE</v>
      </c>
      <c r="W115" s="64" t="str">
        <f t="shared" si="6"/>
        <v>0618-060278-001-1</v>
      </c>
      <c r="X115" s="15" t="str">
        <f t="shared" si="7"/>
        <v>TONACATEPEQUE ESTE</v>
      </c>
      <c r="Y115" s="1" t="str">
        <f t="shared" si="8"/>
        <v>0618-060278-001-1 TONACATEPEQUE ESTE</v>
      </c>
      <c r="Z115" s="1" t="str">
        <f t="shared" si="9"/>
        <v>0618 TONACATEPEQUE-ESTE</v>
      </c>
    </row>
    <row r="116" spans="1:29" ht="32" x14ac:dyDescent="0.4">
      <c r="B116" s="84" t="s">
        <v>345</v>
      </c>
      <c r="C116" s="84" t="s">
        <v>346</v>
      </c>
      <c r="D116" s="84" t="s">
        <v>347</v>
      </c>
      <c r="E116" s="84" t="s">
        <v>348</v>
      </c>
      <c r="F116" s="85">
        <v>0</v>
      </c>
      <c r="G116" s="84">
        <f>[1]DISTRITOS!A116</f>
        <v>115</v>
      </c>
      <c r="H116" s="84" t="s">
        <v>520</v>
      </c>
      <c r="J116" s="15" t="s">
        <v>121</v>
      </c>
      <c r="K116" s="61" t="s">
        <v>329</v>
      </c>
      <c r="L116" s="15" t="s">
        <v>7</v>
      </c>
      <c r="M116" s="85">
        <v>1</v>
      </c>
      <c r="T116" s="63" t="s">
        <v>351</v>
      </c>
      <c r="U116" s="63" t="s">
        <v>352</v>
      </c>
      <c r="V116" s="63" t="str">
        <f t="shared" si="5"/>
        <v>CIUDAD DELGADO-0619-CENTRO</v>
      </c>
      <c r="W116" s="64" t="str">
        <f t="shared" si="6"/>
        <v>0619-010611-001-0</v>
      </c>
      <c r="X116" s="15" t="str">
        <f t="shared" si="7"/>
        <v>CIUDAD DELGADO CENTRO</v>
      </c>
      <c r="Y116" s="1" t="str">
        <f t="shared" si="8"/>
        <v>0619-010611-001-0 CIUDAD DELGADO CENTRO</v>
      </c>
      <c r="Z116" s="1" t="str">
        <f t="shared" si="9"/>
        <v>0619 CIUDAD DELGADO-CENTRO</v>
      </c>
    </row>
    <row r="117" spans="1:29" x14ac:dyDescent="0.4">
      <c r="A117" s="14"/>
      <c r="B117" s="89" t="s">
        <v>498</v>
      </c>
      <c r="C117" s="89" t="s">
        <v>353</v>
      </c>
      <c r="D117" s="89" t="s">
        <v>354</v>
      </c>
      <c r="E117" s="89" t="s">
        <v>348</v>
      </c>
      <c r="F117" s="90">
        <v>9</v>
      </c>
      <c r="G117" s="89">
        <f>[1]DISTRITOS!A117</f>
        <v>116</v>
      </c>
      <c r="H117" s="89" t="s">
        <v>521</v>
      </c>
      <c r="I117" s="14"/>
      <c r="J117" s="14" t="s">
        <v>155</v>
      </c>
      <c r="K117" s="1" t="s">
        <v>334</v>
      </c>
      <c r="L117" s="14" t="s">
        <v>522</v>
      </c>
      <c r="M117" s="90"/>
      <c r="N117" s="90"/>
      <c r="O117" s="90"/>
      <c r="P117" s="90"/>
      <c r="Q117" s="90"/>
      <c r="R117" s="90">
        <v>1</v>
      </c>
      <c r="S117" s="14"/>
      <c r="T117" s="63" t="s">
        <v>351</v>
      </c>
      <c r="U117" s="63" t="s">
        <v>352</v>
      </c>
      <c r="V117" s="63" t="str">
        <f t="shared" si="5"/>
        <v>CANDELARIA-0701-SUR</v>
      </c>
      <c r="W117" s="64" t="str">
        <f t="shared" si="6"/>
        <v>0701-071079-001-9</v>
      </c>
      <c r="X117" s="15" t="str">
        <f t="shared" si="7"/>
        <v>CANDELARIA SUR</v>
      </c>
      <c r="Y117" s="1" t="str">
        <f t="shared" si="8"/>
        <v>0701-071079-001-9 CANDELARIA SUR</v>
      </c>
      <c r="Z117" s="1" t="str">
        <f t="shared" si="9"/>
        <v>0701 CANDELARIA-SUR</v>
      </c>
      <c r="AA117" s="14"/>
      <c r="AB117" s="14"/>
      <c r="AC117" s="14"/>
    </row>
    <row r="118" spans="1:29" x14ac:dyDescent="0.4">
      <c r="A118" s="14" t="s">
        <v>361</v>
      </c>
      <c r="B118" s="89" t="s">
        <v>345</v>
      </c>
      <c r="C118" s="89" t="s">
        <v>346</v>
      </c>
      <c r="D118" s="89" t="s">
        <v>347</v>
      </c>
      <c r="E118" s="89" t="s">
        <v>348</v>
      </c>
      <c r="F118" s="90">
        <v>1</v>
      </c>
      <c r="G118" s="89">
        <f>[1]DISTRITOS!A118</f>
        <v>117</v>
      </c>
      <c r="H118" s="89" t="s">
        <v>523</v>
      </c>
      <c r="I118" s="1">
        <f>[2]DEPARTAMENTOS!A8</f>
        <v>7</v>
      </c>
      <c r="J118" s="14" t="s">
        <v>154</v>
      </c>
      <c r="K118" s="1" t="s">
        <v>334</v>
      </c>
      <c r="L118" s="14" t="s">
        <v>522</v>
      </c>
      <c r="R118" s="90">
        <v>1</v>
      </c>
      <c r="T118" s="63" t="s">
        <v>351</v>
      </c>
      <c r="U118" s="63" t="s">
        <v>352</v>
      </c>
      <c r="V118" s="63" t="str">
        <f t="shared" si="5"/>
        <v>COJUTEPEQUE-0702-SUR</v>
      </c>
      <c r="W118" s="64" t="str">
        <f t="shared" si="6"/>
        <v>0702-010611-001-1</v>
      </c>
      <c r="X118" s="15" t="str">
        <f t="shared" si="7"/>
        <v>COJUTEPEQUE SUR</v>
      </c>
      <c r="Y118" s="1" t="str">
        <f t="shared" si="8"/>
        <v>0702-010611-001-1 COJUTEPEQUE SUR</v>
      </c>
      <c r="Z118" s="1" t="str">
        <f t="shared" si="9"/>
        <v>0702 COJUTEPEQUE-SUR</v>
      </c>
      <c r="AA118" s="91">
        <v>257.02</v>
      </c>
      <c r="AB118" s="92">
        <v>145713</v>
      </c>
      <c r="AC118" s="91">
        <v>566.92999999999995</v>
      </c>
    </row>
    <row r="119" spans="1:29" x14ac:dyDescent="0.4">
      <c r="B119" s="89" t="s">
        <v>524</v>
      </c>
      <c r="C119" s="89" t="s">
        <v>353</v>
      </c>
      <c r="D119" s="89" t="s">
        <v>354</v>
      </c>
      <c r="E119" s="89" t="s">
        <v>348</v>
      </c>
      <c r="F119" s="90">
        <v>0</v>
      </c>
      <c r="G119" s="89">
        <f>[1]DISTRITOS!A119</f>
        <v>118</v>
      </c>
      <c r="H119" s="89" t="s">
        <v>525</v>
      </c>
      <c r="J119" s="14" t="s">
        <v>156</v>
      </c>
      <c r="K119" s="1" t="s">
        <v>334</v>
      </c>
      <c r="L119" s="14" t="s">
        <v>522</v>
      </c>
      <c r="R119" s="90">
        <v>1</v>
      </c>
      <c r="T119" s="63" t="s">
        <v>351</v>
      </c>
      <c r="U119" s="63" t="s">
        <v>352</v>
      </c>
      <c r="V119" s="63" t="str">
        <f t="shared" si="5"/>
        <v>EL CARMEN-0703-SUR</v>
      </c>
      <c r="W119" s="64" t="str">
        <f t="shared" si="6"/>
        <v>0703-141079-001-0</v>
      </c>
      <c r="X119" s="15" t="str">
        <f t="shared" si="7"/>
        <v>EL CARMEN SUR</v>
      </c>
      <c r="Y119" s="1" t="str">
        <f t="shared" si="8"/>
        <v>0703-141079-001-0 EL CARMEN SUR</v>
      </c>
      <c r="Z119" s="1" t="str">
        <f t="shared" si="9"/>
        <v>0703 EL CARMEN-SUR</v>
      </c>
    </row>
    <row r="120" spans="1:29" x14ac:dyDescent="0.4">
      <c r="B120" s="89" t="s">
        <v>498</v>
      </c>
      <c r="C120" s="89" t="s">
        <v>353</v>
      </c>
      <c r="D120" s="89" t="s">
        <v>354</v>
      </c>
      <c r="E120" s="89" t="s">
        <v>348</v>
      </c>
      <c r="F120" s="90">
        <v>9</v>
      </c>
      <c r="G120" s="89">
        <f>[1]DISTRITOS!A120</f>
        <v>119</v>
      </c>
      <c r="H120" s="89" t="s">
        <v>526</v>
      </c>
      <c r="J120" s="14" t="s">
        <v>527</v>
      </c>
      <c r="K120" s="1" t="s">
        <v>334</v>
      </c>
      <c r="L120" s="14" t="s">
        <v>522</v>
      </c>
      <c r="R120" s="90">
        <v>1</v>
      </c>
      <c r="T120" s="63" t="s">
        <v>351</v>
      </c>
      <c r="U120" s="63" t="s">
        <v>352</v>
      </c>
      <c r="V120" s="63" t="str">
        <f t="shared" si="5"/>
        <v>EL ROSARIO CUSCATLAN-0704-SUR</v>
      </c>
      <c r="W120" s="64" t="str">
        <f t="shared" si="6"/>
        <v>0704-071079-001-9</v>
      </c>
      <c r="X120" s="15" t="str">
        <f t="shared" si="7"/>
        <v>EL ROSARIO CUSCATLAN SUR</v>
      </c>
      <c r="Y120" s="1" t="str">
        <f t="shared" si="8"/>
        <v>0704-071079-001-9 EL ROSARIO CUSCATLAN SUR</v>
      </c>
      <c r="Z120" s="1" t="str">
        <f t="shared" si="9"/>
        <v>0704 EL ROSARIO CUSCATLAN-SUR</v>
      </c>
    </row>
    <row r="121" spans="1:29" x14ac:dyDescent="0.4">
      <c r="B121" s="89" t="s">
        <v>498</v>
      </c>
      <c r="C121" s="89" t="s">
        <v>353</v>
      </c>
      <c r="D121" s="89" t="s">
        <v>354</v>
      </c>
      <c r="E121" s="89" t="s">
        <v>348</v>
      </c>
      <c r="F121" s="90">
        <v>9</v>
      </c>
      <c r="G121" s="89">
        <f>[1]DISTRITOS!A121</f>
        <v>120</v>
      </c>
      <c r="H121" s="89" t="s">
        <v>528</v>
      </c>
      <c r="J121" s="14" t="s">
        <v>157</v>
      </c>
      <c r="K121" s="1" t="s">
        <v>334</v>
      </c>
      <c r="L121" s="14" t="s">
        <v>522</v>
      </c>
      <c r="R121" s="90">
        <v>1</v>
      </c>
      <c r="T121" s="63" t="s">
        <v>351</v>
      </c>
      <c r="U121" s="63" t="s">
        <v>352</v>
      </c>
      <c r="V121" s="63" t="str">
        <f t="shared" si="5"/>
        <v>MONTE SAN JUAN-0705-SUR</v>
      </c>
      <c r="W121" s="64" t="str">
        <f t="shared" si="6"/>
        <v>0705-071079-001-9</v>
      </c>
      <c r="X121" s="15" t="str">
        <f t="shared" si="7"/>
        <v>MONTE SAN JUAN SUR</v>
      </c>
      <c r="Y121" s="1" t="str">
        <f t="shared" si="8"/>
        <v>0705-071079-001-9 MONTE SAN JUAN SUR</v>
      </c>
      <c r="Z121" s="1" t="str">
        <f t="shared" si="9"/>
        <v>0705 MONTE SAN JUAN-SUR</v>
      </c>
    </row>
    <row r="122" spans="1:29" x14ac:dyDescent="0.4">
      <c r="B122" s="89" t="s">
        <v>498</v>
      </c>
      <c r="C122" s="89" t="s">
        <v>353</v>
      </c>
      <c r="D122" s="89" t="s">
        <v>354</v>
      </c>
      <c r="E122" s="89" t="s">
        <v>348</v>
      </c>
      <c r="F122" s="90">
        <v>9</v>
      </c>
      <c r="G122" s="89">
        <f>[1]DISTRITOS!A122</f>
        <v>121</v>
      </c>
      <c r="H122" s="89" t="s">
        <v>529</v>
      </c>
      <c r="J122" s="14" t="s">
        <v>530</v>
      </c>
      <c r="K122" s="1" t="s">
        <v>332</v>
      </c>
      <c r="L122" s="14" t="s">
        <v>522</v>
      </c>
      <c r="P122" s="90">
        <v>1</v>
      </c>
      <c r="T122" s="63" t="s">
        <v>351</v>
      </c>
      <c r="U122" s="63" t="s">
        <v>352</v>
      </c>
      <c r="V122" s="63" t="str">
        <f t="shared" si="5"/>
        <v>ORATORIO DE CONCEPCION-0706-NORTE</v>
      </c>
      <c r="W122" s="64" t="str">
        <f t="shared" si="6"/>
        <v>0706-071079-001-9</v>
      </c>
      <c r="X122" s="15" t="str">
        <f t="shared" si="7"/>
        <v>ORATORIO DE CONCEPCION NORTE</v>
      </c>
      <c r="Y122" s="1" t="str">
        <f t="shared" si="8"/>
        <v>0706-071079-001-9 ORATORIO DE CONCEPCION NORTE</v>
      </c>
      <c r="Z122" s="1" t="str">
        <f t="shared" si="9"/>
        <v>0706 ORATORIO DE CONCEPCION-NORTE</v>
      </c>
    </row>
    <row r="123" spans="1:29" x14ac:dyDescent="0.4">
      <c r="B123" s="89" t="s">
        <v>498</v>
      </c>
      <c r="C123" s="89" t="s">
        <v>353</v>
      </c>
      <c r="D123" s="89" t="s">
        <v>354</v>
      </c>
      <c r="E123" s="89" t="s">
        <v>348</v>
      </c>
      <c r="F123" s="90">
        <v>9</v>
      </c>
      <c r="G123" s="89">
        <f>[1]DISTRITOS!A123</f>
        <v>122</v>
      </c>
      <c r="H123" s="89" t="s">
        <v>531</v>
      </c>
      <c r="J123" s="14" t="s">
        <v>532</v>
      </c>
      <c r="K123" s="1" t="s">
        <v>332</v>
      </c>
      <c r="L123" s="14" t="s">
        <v>522</v>
      </c>
      <c r="P123" s="90">
        <v>1</v>
      </c>
      <c r="T123" s="63" t="s">
        <v>351</v>
      </c>
      <c r="U123" s="63" t="s">
        <v>352</v>
      </c>
      <c r="V123" s="63" t="str">
        <f t="shared" si="5"/>
        <v>SAN BARTOLOME PERULAPIA-0707-NORTE</v>
      </c>
      <c r="W123" s="64" t="str">
        <f t="shared" si="6"/>
        <v>0707-071079-001-9</v>
      </c>
      <c r="X123" s="15" t="str">
        <f t="shared" si="7"/>
        <v>SAN BARTOLOME PERULAPIA NORTE</v>
      </c>
      <c r="Y123" s="1" t="str">
        <f t="shared" si="8"/>
        <v>0707-071079-001-9 SAN BARTOLOME PERULAPIA NORTE</v>
      </c>
      <c r="Z123" s="1" t="str">
        <f t="shared" si="9"/>
        <v>0707 SAN BARTOLOME PERULAPIA-NORTE</v>
      </c>
    </row>
    <row r="124" spans="1:29" x14ac:dyDescent="0.4">
      <c r="B124" s="89" t="s">
        <v>498</v>
      </c>
      <c r="C124" s="89" t="s">
        <v>353</v>
      </c>
      <c r="D124" s="89" t="s">
        <v>354</v>
      </c>
      <c r="E124" s="89" t="s">
        <v>348</v>
      </c>
      <c r="F124" s="90">
        <v>9</v>
      </c>
      <c r="G124" s="89">
        <f>[1]DISTRITOS!A124</f>
        <v>123</v>
      </c>
      <c r="H124" s="89" t="s">
        <v>533</v>
      </c>
      <c r="J124" s="14" t="s">
        <v>534</v>
      </c>
      <c r="K124" s="1" t="s">
        <v>334</v>
      </c>
      <c r="L124" s="14" t="s">
        <v>522</v>
      </c>
      <c r="R124" s="90">
        <v>1</v>
      </c>
      <c r="T124" s="63" t="s">
        <v>351</v>
      </c>
      <c r="U124" s="63" t="s">
        <v>352</v>
      </c>
      <c r="V124" s="63" t="str">
        <f t="shared" si="5"/>
        <v>SAN CRISTOBAL-0708-SUR</v>
      </c>
      <c r="W124" s="64" t="str">
        <f t="shared" si="6"/>
        <v>0708-071079-001-9</v>
      </c>
      <c r="X124" s="15" t="str">
        <f t="shared" si="7"/>
        <v>SAN CRISTOBAL SUR</v>
      </c>
      <c r="Y124" s="1" t="str">
        <f t="shared" si="8"/>
        <v>0708-071079-001-9 SAN CRISTOBAL SUR</v>
      </c>
      <c r="Z124" s="1" t="str">
        <f t="shared" si="9"/>
        <v>0708 SAN CRISTOBAL-SUR</v>
      </c>
    </row>
    <row r="125" spans="1:29" x14ac:dyDescent="0.4">
      <c r="B125" s="89" t="s">
        <v>498</v>
      </c>
      <c r="C125" s="89" t="s">
        <v>353</v>
      </c>
      <c r="D125" s="89" t="s">
        <v>354</v>
      </c>
      <c r="E125" s="89" t="s">
        <v>348</v>
      </c>
      <c r="F125" s="90">
        <v>9</v>
      </c>
      <c r="G125" s="89">
        <f>[1]DISTRITOS!A125</f>
        <v>124</v>
      </c>
      <c r="H125" s="89" t="s">
        <v>535</v>
      </c>
      <c r="J125" s="14" t="s">
        <v>536</v>
      </c>
      <c r="K125" s="1" t="s">
        <v>332</v>
      </c>
      <c r="L125" s="14" t="s">
        <v>522</v>
      </c>
      <c r="P125" s="90">
        <v>1</v>
      </c>
      <c r="T125" s="63" t="s">
        <v>351</v>
      </c>
      <c r="U125" s="63" t="s">
        <v>352</v>
      </c>
      <c r="V125" s="63" t="str">
        <f t="shared" si="5"/>
        <v>SAN JOSE GUAYABAL-0709-NORTE</v>
      </c>
      <c r="W125" s="64" t="str">
        <f t="shared" si="6"/>
        <v>0709-071079-001-9</v>
      </c>
      <c r="X125" s="15" t="str">
        <f t="shared" si="7"/>
        <v>SAN JOSE GUAYABAL NORTE</v>
      </c>
      <c r="Y125" s="1" t="str">
        <f t="shared" si="8"/>
        <v>0709-071079-001-9 SAN JOSE GUAYABAL NORTE</v>
      </c>
      <c r="Z125" s="1" t="str">
        <f t="shared" si="9"/>
        <v>0709 SAN JOSE GUAYABAL-NORTE</v>
      </c>
    </row>
    <row r="126" spans="1:29" x14ac:dyDescent="0.4">
      <c r="B126" s="89" t="s">
        <v>498</v>
      </c>
      <c r="C126" s="89" t="s">
        <v>353</v>
      </c>
      <c r="D126" s="89" t="s">
        <v>354</v>
      </c>
      <c r="E126" s="89" t="s">
        <v>348</v>
      </c>
      <c r="F126" s="90">
        <v>0</v>
      </c>
      <c r="G126" s="89">
        <f>[1]DISTRITOS!A126</f>
        <v>125</v>
      </c>
      <c r="H126" s="89" t="s">
        <v>537</v>
      </c>
      <c r="J126" s="14" t="s">
        <v>538</v>
      </c>
      <c r="K126" s="1" t="s">
        <v>332</v>
      </c>
      <c r="L126" s="14" t="s">
        <v>522</v>
      </c>
      <c r="P126" s="90">
        <v>1</v>
      </c>
      <c r="T126" s="63" t="s">
        <v>351</v>
      </c>
      <c r="U126" s="63" t="s">
        <v>352</v>
      </c>
      <c r="V126" s="63" t="str">
        <f t="shared" si="5"/>
        <v>SAN PEDRO PERULAPAN-0710-NORTE</v>
      </c>
      <c r="W126" s="64" t="str">
        <f t="shared" si="6"/>
        <v>0710-071079-001-0</v>
      </c>
      <c r="X126" s="15" t="str">
        <f t="shared" si="7"/>
        <v>SAN PEDRO PERULAPAN NORTE</v>
      </c>
      <c r="Y126" s="1" t="str">
        <f t="shared" si="8"/>
        <v>0710-071079-001-0 SAN PEDRO PERULAPAN NORTE</v>
      </c>
      <c r="Z126" s="1" t="str">
        <f t="shared" si="9"/>
        <v>0710 SAN PEDRO PERULAPAN-NORTE</v>
      </c>
    </row>
    <row r="127" spans="1:29" x14ac:dyDescent="0.4">
      <c r="B127" s="89" t="s">
        <v>498</v>
      </c>
      <c r="C127" s="89" t="s">
        <v>353</v>
      </c>
      <c r="D127" s="89" t="s">
        <v>354</v>
      </c>
      <c r="E127" s="89" t="s">
        <v>348</v>
      </c>
      <c r="F127" s="90">
        <v>0</v>
      </c>
      <c r="G127" s="89">
        <f>[1]DISTRITOS!A127</f>
        <v>126</v>
      </c>
      <c r="H127" s="89" t="s">
        <v>539</v>
      </c>
      <c r="J127" s="14" t="s">
        <v>159</v>
      </c>
      <c r="K127" s="1" t="s">
        <v>334</v>
      </c>
      <c r="L127" s="14" t="s">
        <v>522</v>
      </c>
      <c r="R127" s="90">
        <v>1</v>
      </c>
      <c r="T127" s="63" t="s">
        <v>351</v>
      </c>
      <c r="U127" s="63" t="s">
        <v>352</v>
      </c>
      <c r="V127" s="63" t="str">
        <f t="shared" si="5"/>
        <v>SAN RAFAEL CEDROS-0711-SUR</v>
      </c>
      <c r="W127" s="64" t="str">
        <f t="shared" si="6"/>
        <v>0711-071079-001-0</v>
      </c>
      <c r="X127" s="15" t="str">
        <f t="shared" si="7"/>
        <v>SAN RAFAEL CEDROS SUR</v>
      </c>
      <c r="Y127" s="1" t="str">
        <f t="shared" si="8"/>
        <v>0711-071079-001-0 SAN RAFAEL CEDROS SUR</v>
      </c>
      <c r="Z127" s="1" t="str">
        <f t="shared" si="9"/>
        <v>0711 SAN RAFAEL CEDROS-SUR</v>
      </c>
    </row>
    <row r="128" spans="1:29" x14ac:dyDescent="0.4">
      <c r="B128" s="89" t="s">
        <v>498</v>
      </c>
      <c r="C128" s="89" t="s">
        <v>353</v>
      </c>
      <c r="D128" s="89" t="s">
        <v>354</v>
      </c>
      <c r="E128" s="89" t="s">
        <v>348</v>
      </c>
      <c r="F128" s="90">
        <v>0</v>
      </c>
      <c r="G128" s="89">
        <f>[1]DISTRITOS!A128</f>
        <v>127</v>
      </c>
      <c r="H128" s="89" t="s">
        <v>540</v>
      </c>
      <c r="J128" s="14" t="s">
        <v>541</v>
      </c>
      <c r="K128" s="1" t="s">
        <v>334</v>
      </c>
      <c r="L128" s="14" t="s">
        <v>522</v>
      </c>
      <c r="R128" s="90">
        <v>1</v>
      </c>
      <c r="T128" s="63" t="s">
        <v>351</v>
      </c>
      <c r="U128" s="63" t="s">
        <v>352</v>
      </c>
      <c r="V128" s="63" t="str">
        <f t="shared" si="5"/>
        <v>SAN RAMON-0712-SUR</v>
      </c>
      <c r="W128" s="64" t="str">
        <f t="shared" si="6"/>
        <v>0712-071079-001-0</v>
      </c>
      <c r="X128" s="15" t="str">
        <f t="shared" si="7"/>
        <v>SAN RAMON SUR</v>
      </c>
      <c r="Y128" s="1" t="str">
        <f t="shared" si="8"/>
        <v>0712-071079-001-0 SAN RAMON SUR</v>
      </c>
      <c r="Z128" s="1" t="str">
        <f t="shared" si="9"/>
        <v>0712 SAN RAMON-SUR</v>
      </c>
    </row>
    <row r="129" spans="1:29" x14ac:dyDescent="0.4">
      <c r="B129" s="89" t="s">
        <v>498</v>
      </c>
      <c r="C129" s="89" t="s">
        <v>353</v>
      </c>
      <c r="D129" s="89" t="s">
        <v>354</v>
      </c>
      <c r="E129" s="89" t="s">
        <v>348</v>
      </c>
      <c r="F129" s="90">
        <v>0</v>
      </c>
      <c r="G129" s="89">
        <f>[1]DISTRITOS!A129</f>
        <v>128</v>
      </c>
      <c r="H129" s="89" t="s">
        <v>542</v>
      </c>
      <c r="J129" s="14" t="s">
        <v>161</v>
      </c>
      <c r="K129" s="1" t="s">
        <v>332</v>
      </c>
      <c r="L129" s="14" t="s">
        <v>522</v>
      </c>
      <c r="P129" s="90">
        <v>1</v>
      </c>
      <c r="T129" s="63" t="s">
        <v>351</v>
      </c>
      <c r="U129" s="63" t="s">
        <v>352</v>
      </c>
      <c r="V129" s="63" t="str">
        <f t="shared" si="5"/>
        <v>SANTA CRUZ ANALQUITO-0713-NORTE</v>
      </c>
      <c r="W129" s="64" t="str">
        <f t="shared" si="6"/>
        <v>0713-071079-001-0</v>
      </c>
      <c r="X129" s="15" t="str">
        <f t="shared" si="7"/>
        <v>SANTA CRUZ ANALQUITO NORTE</v>
      </c>
      <c r="Y129" s="1" t="str">
        <f t="shared" si="8"/>
        <v>0713-071079-001-0 SANTA CRUZ ANALQUITO NORTE</v>
      </c>
      <c r="Z129" s="1" t="str">
        <f t="shared" si="9"/>
        <v>0713 SANTA CRUZ ANALQUITO-NORTE</v>
      </c>
    </row>
    <row r="130" spans="1:29" x14ac:dyDescent="0.4">
      <c r="B130" s="89" t="s">
        <v>498</v>
      </c>
      <c r="C130" s="89" t="s">
        <v>353</v>
      </c>
      <c r="D130" s="89" t="s">
        <v>354</v>
      </c>
      <c r="E130" s="89" t="s">
        <v>348</v>
      </c>
      <c r="F130" s="90">
        <v>0</v>
      </c>
      <c r="G130" s="89">
        <f>[1]DISTRITOS!A130</f>
        <v>129</v>
      </c>
      <c r="H130" s="89" t="s">
        <v>543</v>
      </c>
      <c r="J130" s="14" t="s">
        <v>162</v>
      </c>
      <c r="K130" s="1" t="s">
        <v>334</v>
      </c>
      <c r="L130" s="14" t="s">
        <v>522</v>
      </c>
      <c r="R130" s="90">
        <v>1</v>
      </c>
      <c r="T130" s="63" t="s">
        <v>351</v>
      </c>
      <c r="U130" s="63" t="s">
        <v>352</v>
      </c>
      <c r="V130" s="63" t="str">
        <f t="shared" ref="V130:V193" si="10">CONCATENATE(J130,T130,H130,T130,K130)</f>
        <v>SANTA CRUZ MICHAPA-0714-SUR</v>
      </c>
      <c r="W130" s="64" t="str">
        <f t="shared" ref="W130:W193" si="11">CONCATENATE(H130,T130,B130,C130,D130,T130,E130,T130,F130)</f>
        <v>0714-071079-001-0</v>
      </c>
      <c r="X130" s="15" t="str">
        <f t="shared" ref="X130:X193" si="12">CONCATENATE(J130,U130,K130)</f>
        <v>SANTA CRUZ MICHAPA SUR</v>
      </c>
      <c r="Y130" s="1" t="str">
        <f t="shared" ref="Y130:Y193" si="13">CONCATENATE(W130,U130,X130)</f>
        <v>0714-071079-001-0 SANTA CRUZ MICHAPA SUR</v>
      </c>
      <c r="Z130" s="1" t="str">
        <f t="shared" ref="Z130:Z193" si="14">CONCATENATE(H130,U130,J130,T130,K130)</f>
        <v>0714 SANTA CRUZ MICHAPA-SUR</v>
      </c>
    </row>
    <row r="131" spans="1:29" x14ac:dyDescent="0.4">
      <c r="A131" s="14" t="s">
        <v>356</v>
      </c>
      <c r="B131" s="89" t="s">
        <v>345</v>
      </c>
      <c r="C131" s="89" t="s">
        <v>346</v>
      </c>
      <c r="D131" s="89" t="s">
        <v>347</v>
      </c>
      <c r="E131" s="89" t="s">
        <v>348</v>
      </c>
      <c r="F131" s="90">
        <v>2</v>
      </c>
      <c r="G131" s="89">
        <f>[1]DISTRITOS!A131</f>
        <v>130</v>
      </c>
      <c r="H131" s="89" t="s">
        <v>544</v>
      </c>
      <c r="J131" s="14" t="s">
        <v>149</v>
      </c>
      <c r="K131" s="1" t="s">
        <v>332</v>
      </c>
      <c r="L131" s="14" t="s">
        <v>522</v>
      </c>
      <c r="P131" s="90">
        <v>1</v>
      </c>
      <c r="T131" s="63" t="s">
        <v>351</v>
      </c>
      <c r="U131" s="63" t="s">
        <v>352</v>
      </c>
      <c r="V131" s="63" t="str">
        <f t="shared" si="10"/>
        <v>SUCHITOTO-0715-NORTE</v>
      </c>
      <c r="W131" s="64" t="str">
        <f t="shared" si="11"/>
        <v>0715-010611-001-2</v>
      </c>
      <c r="X131" s="15" t="str">
        <f t="shared" si="12"/>
        <v>SUCHITOTO NORTE</v>
      </c>
      <c r="Y131" s="1" t="str">
        <f t="shared" si="13"/>
        <v>0715-010611-001-2 SUCHITOTO NORTE</v>
      </c>
      <c r="Z131" s="1" t="str">
        <f t="shared" si="14"/>
        <v>0715 SUCHITOTO-NORTE</v>
      </c>
      <c r="AA131" s="91">
        <v>499.17</v>
      </c>
      <c r="AB131" s="92">
        <v>90452</v>
      </c>
      <c r="AC131" s="91">
        <v>181.2</v>
      </c>
    </row>
    <row r="132" spans="1:29" x14ac:dyDescent="0.4">
      <c r="B132" s="89" t="s">
        <v>498</v>
      </c>
      <c r="C132" s="89" t="s">
        <v>353</v>
      </c>
      <c r="D132" s="89" t="s">
        <v>354</v>
      </c>
      <c r="E132" s="89" t="s">
        <v>348</v>
      </c>
      <c r="F132" s="90">
        <v>0</v>
      </c>
      <c r="G132" s="89">
        <f>[1]DISTRITOS!A132</f>
        <v>131</v>
      </c>
      <c r="H132" s="89" t="s">
        <v>545</v>
      </c>
      <c r="J132" s="14" t="s">
        <v>163</v>
      </c>
      <c r="K132" s="1" t="s">
        <v>334</v>
      </c>
      <c r="L132" s="14" t="s">
        <v>522</v>
      </c>
      <c r="R132" s="90">
        <v>1</v>
      </c>
      <c r="T132" s="63" t="s">
        <v>351</v>
      </c>
      <c r="U132" s="63" t="s">
        <v>352</v>
      </c>
      <c r="V132" s="63" t="str">
        <f t="shared" si="10"/>
        <v>TENANCINGO-0716-SUR</v>
      </c>
      <c r="W132" s="64" t="str">
        <f t="shared" si="11"/>
        <v>0716-071079-001-0</v>
      </c>
      <c r="X132" s="15" t="str">
        <f t="shared" si="12"/>
        <v>TENANCINGO SUR</v>
      </c>
      <c r="Y132" s="1" t="str">
        <f t="shared" si="13"/>
        <v>0716-071079-001-0 TENANCINGO SUR</v>
      </c>
      <c r="Z132" s="1" t="str">
        <f t="shared" si="14"/>
        <v>0716 TENANCINGO-SUR</v>
      </c>
    </row>
    <row r="133" spans="1:29" ht="32" x14ac:dyDescent="0.4">
      <c r="A133" s="13" t="s">
        <v>371</v>
      </c>
      <c r="B133" s="93" t="s">
        <v>511</v>
      </c>
      <c r="C133" s="93" t="s">
        <v>353</v>
      </c>
      <c r="D133" s="93" t="s">
        <v>354</v>
      </c>
      <c r="E133" s="93" t="s">
        <v>348</v>
      </c>
      <c r="F133" s="94">
        <v>9</v>
      </c>
      <c r="G133" s="93">
        <f>[1]DISTRITOS!A133</f>
        <v>132</v>
      </c>
      <c r="H133" s="93" t="s">
        <v>546</v>
      </c>
      <c r="I133" s="13"/>
      <c r="J133" s="13" t="s">
        <v>547</v>
      </c>
      <c r="K133" s="61" t="s">
        <v>333</v>
      </c>
      <c r="L133" s="13" t="s">
        <v>9</v>
      </c>
      <c r="M133" s="94"/>
      <c r="N133" s="94"/>
      <c r="O133" s="94"/>
      <c r="P133" s="94"/>
      <c r="Q133" s="94">
        <v>1</v>
      </c>
      <c r="R133" s="94"/>
      <c r="S133" s="13"/>
      <c r="T133" s="63" t="s">
        <v>351</v>
      </c>
      <c r="U133" s="63" t="s">
        <v>352</v>
      </c>
      <c r="V133" s="63" t="str">
        <f t="shared" si="10"/>
        <v>CUYULTITAN-0801-OESTE</v>
      </c>
      <c r="W133" s="64" t="str">
        <f t="shared" si="11"/>
        <v>0801-081079-001-9</v>
      </c>
      <c r="X133" s="15" t="str">
        <f t="shared" si="12"/>
        <v>CUYULTITAN OESTE</v>
      </c>
      <c r="Y133" s="1" t="str">
        <f t="shared" si="13"/>
        <v>0801-081079-001-9 CUYULTITAN OESTE</v>
      </c>
      <c r="Z133" s="1" t="str">
        <f t="shared" si="14"/>
        <v>0801 CUYULTITAN-OESTE</v>
      </c>
      <c r="AA133" s="95">
        <v>381.23</v>
      </c>
      <c r="AB133" s="96">
        <v>101279</v>
      </c>
      <c r="AC133" s="95">
        <v>265.66000000000003</v>
      </c>
    </row>
    <row r="134" spans="1:29" ht="32" x14ac:dyDescent="0.4">
      <c r="A134" s="13" t="s">
        <v>344</v>
      </c>
      <c r="B134" s="93" t="s">
        <v>511</v>
      </c>
      <c r="C134" s="93" t="s">
        <v>353</v>
      </c>
      <c r="D134" s="93" t="s">
        <v>354</v>
      </c>
      <c r="E134" s="93" t="s">
        <v>348</v>
      </c>
      <c r="F134" s="94">
        <v>9</v>
      </c>
      <c r="G134" s="93">
        <f>[1]DISTRITOS!A134</f>
        <v>133</v>
      </c>
      <c r="H134" s="93" t="s">
        <v>548</v>
      </c>
      <c r="J134" s="13" t="s">
        <v>134</v>
      </c>
      <c r="K134" s="61" t="s">
        <v>329</v>
      </c>
      <c r="L134" s="13" t="s">
        <v>9</v>
      </c>
      <c r="M134" s="94">
        <v>1</v>
      </c>
      <c r="T134" s="63" t="s">
        <v>351</v>
      </c>
      <c r="U134" s="63" t="s">
        <v>352</v>
      </c>
      <c r="V134" s="63" t="str">
        <f t="shared" si="10"/>
        <v>EL ROSARIO-0802-CENTRO</v>
      </c>
      <c r="W134" s="64" t="str">
        <f t="shared" si="11"/>
        <v>0802-081079-001-9</v>
      </c>
      <c r="X134" s="15" t="str">
        <f t="shared" si="12"/>
        <v>EL ROSARIO CENTRO</v>
      </c>
      <c r="Y134" s="1" t="str">
        <f t="shared" si="13"/>
        <v>0802-081079-001-9 EL ROSARIO CENTRO</v>
      </c>
      <c r="Z134" s="1" t="str">
        <f t="shared" si="14"/>
        <v>0802 EL ROSARIO-CENTRO</v>
      </c>
      <c r="AA134" s="95">
        <v>450.42</v>
      </c>
      <c r="AB134" s="96">
        <v>115564</v>
      </c>
      <c r="AC134" s="95">
        <v>256.57</v>
      </c>
    </row>
    <row r="135" spans="1:29" ht="32" x14ac:dyDescent="0.4">
      <c r="B135" s="93" t="s">
        <v>511</v>
      </c>
      <c r="C135" s="93" t="s">
        <v>353</v>
      </c>
      <c r="D135" s="93" t="s">
        <v>354</v>
      </c>
      <c r="E135" s="93" t="s">
        <v>348</v>
      </c>
      <c r="F135" s="94">
        <v>9</v>
      </c>
      <c r="G135" s="93">
        <f>[1]DISTRITOS!A135</f>
        <v>134</v>
      </c>
      <c r="H135" s="93" t="s">
        <v>549</v>
      </c>
      <c r="J135" s="13" t="s">
        <v>550</v>
      </c>
      <c r="K135" s="61" t="s">
        <v>329</v>
      </c>
      <c r="L135" s="13" t="s">
        <v>9</v>
      </c>
      <c r="M135" s="94">
        <v>1</v>
      </c>
      <c r="T135" s="63" t="s">
        <v>351</v>
      </c>
      <c r="U135" s="63" t="s">
        <v>352</v>
      </c>
      <c r="V135" s="63" t="str">
        <f t="shared" si="10"/>
        <v>JERUSALEN-0803-CENTRO</v>
      </c>
      <c r="W135" s="64" t="str">
        <f t="shared" si="11"/>
        <v>0803-081079-001-9</v>
      </c>
      <c r="X135" s="15" t="str">
        <f t="shared" si="12"/>
        <v>JERUSALEN CENTRO</v>
      </c>
      <c r="Y135" s="1" t="str">
        <f t="shared" si="13"/>
        <v>0803-081079-001-9 JERUSALEN CENTRO</v>
      </c>
      <c r="Z135" s="1" t="str">
        <f t="shared" si="14"/>
        <v>0803 JERUSALEN-CENTRO</v>
      </c>
    </row>
    <row r="136" spans="1:29" ht="32" x14ac:dyDescent="0.4">
      <c r="B136" s="93" t="s">
        <v>511</v>
      </c>
      <c r="C136" s="93" t="s">
        <v>353</v>
      </c>
      <c r="D136" s="93" t="s">
        <v>354</v>
      </c>
      <c r="E136" s="93" t="s">
        <v>348</v>
      </c>
      <c r="F136" s="94">
        <v>9</v>
      </c>
      <c r="G136" s="93">
        <f>[1]DISTRITOS!A136</f>
        <v>135</v>
      </c>
      <c r="H136" s="93" t="s">
        <v>551</v>
      </c>
      <c r="J136" s="13" t="s">
        <v>136</v>
      </c>
      <c r="K136" s="61" t="s">
        <v>329</v>
      </c>
      <c r="L136" s="13" t="s">
        <v>9</v>
      </c>
      <c r="M136" s="94">
        <v>1</v>
      </c>
      <c r="T136" s="63" t="s">
        <v>351</v>
      </c>
      <c r="U136" s="63" t="s">
        <v>352</v>
      </c>
      <c r="V136" s="63" t="str">
        <f t="shared" si="10"/>
        <v>MERCEDES LA CEIBA-0804-CENTRO</v>
      </c>
      <c r="W136" s="64" t="str">
        <f t="shared" si="11"/>
        <v>0804-081079-001-9</v>
      </c>
      <c r="X136" s="15" t="str">
        <f t="shared" si="12"/>
        <v>MERCEDES LA CEIBA CENTRO</v>
      </c>
      <c r="Y136" s="1" t="str">
        <f t="shared" si="13"/>
        <v>0804-081079-001-9 MERCEDES LA CEIBA CENTRO</v>
      </c>
      <c r="Z136" s="1" t="str">
        <f t="shared" si="14"/>
        <v>0804 MERCEDES LA CEIBA-CENTRO</v>
      </c>
    </row>
    <row r="137" spans="1:29" ht="32" x14ac:dyDescent="0.4">
      <c r="B137" s="93" t="s">
        <v>511</v>
      </c>
      <c r="C137" s="93" t="s">
        <v>353</v>
      </c>
      <c r="D137" s="93" t="s">
        <v>354</v>
      </c>
      <c r="E137" s="93" t="s">
        <v>348</v>
      </c>
      <c r="F137" s="94">
        <v>9</v>
      </c>
      <c r="G137" s="93">
        <f>[1]DISTRITOS!A137</f>
        <v>136</v>
      </c>
      <c r="H137" s="93" t="s">
        <v>552</v>
      </c>
      <c r="J137" s="13" t="s">
        <v>128</v>
      </c>
      <c r="K137" s="61" t="s">
        <v>333</v>
      </c>
      <c r="L137" s="13" t="s">
        <v>9</v>
      </c>
      <c r="Q137" s="94">
        <v>1</v>
      </c>
      <c r="T137" s="63" t="s">
        <v>351</v>
      </c>
      <c r="U137" s="63" t="s">
        <v>352</v>
      </c>
      <c r="V137" s="63" t="str">
        <f t="shared" si="10"/>
        <v>OLOCUILTA-0805-OESTE</v>
      </c>
      <c r="W137" s="64" t="str">
        <f t="shared" si="11"/>
        <v>0805-081079-001-9</v>
      </c>
      <c r="X137" s="15" t="str">
        <f t="shared" si="12"/>
        <v>OLOCUILTA OESTE</v>
      </c>
      <c r="Y137" s="1" t="str">
        <f t="shared" si="13"/>
        <v>0805-081079-001-9 OLOCUILTA OESTE</v>
      </c>
      <c r="Z137" s="1" t="str">
        <f t="shared" si="14"/>
        <v>0805 OLOCUILTA-OESTE</v>
      </c>
    </row>
    <row r="138" spans="1:29" ht="32" x14ac:dyDescent="0.4">
      <c r="B138" s="93" t="s">
        <v>511</v>
      </c>
      <c r="C138" s="93" t="s">
        <v>353</v>
      </c>
      <c r="D138" s="93" t="s">
        <v>354</v>
      </c>
      <c r="E138" s="93" t="s">
        <v>348</v>
      </c>
      <c r="F138" s="94">
        <v>9</v>
      </c>
      <c r="G138" s="93">
        <f>[1]DISTRITOS!A138</f>
        <v>137</v>
      </c>
      <c r="H138" s="93" t="s">
        <v>553</v>
      </c>
      <c r="J138" s="13" t="s">
        <v>554</v>
      </c>
      <c r="K138" s="61" t="s">
        <v>329</v>
      </c>
      <c r="L138" s="13" t="s">
        <v>9</v>
      </c>
      <c r="M138" s="94">
        <v>1</v>
      </c>
      <c r="T138" s="63" t="s">
        <v>351</v>
      </c>
      <c r="U138" s="63" t="s">
        <v>352</v>
      </c>
      <c r="V138" s="63" t="str">
        <f t="shared" si="10"/>
        <v>PARAISO DE OSORIO-0806-CENTRO</v>
      </c>
      <c r="W138" s="64" t="str">
        <f t="shared" si="11"/>
        <v>0806-081079-001-9</v>
      </c>
      <c r="X138" s="15" t="str">
        <f t="shared" si="12"/>
        <v>PARAISO DE OSORIO CENTRO</v>
      </c>
      <c r="Y138" s="1" t="str">
        <f t="shared" si="13"/>
        <v>0806-081079-001-9 PARAISO DE OSORIO CENTRO</v>
      </c>
      <c r="Z138" s="1" t="str">
        <f t="shared" si="14"/>
        <v>0806 PARAISO DE OSORIO-CENTRO</v>
      </c>
    </row>
    <row r="139" spans="1:29" ht="32" x14ac:dyDescent="0.4">
      <c r="B139" s="93" t="s">
        <v>511</v>
      </c>
      <c r="C139" s="93" t="s">
        <v>353</v>
      </c>
      <c r="D139" s="93" t="s">
        <v>354</v>
      </c>
      <c r="E139" s="93" t="s">
        <v>348</v>
      </c>
      <c r="F139" s="94">
        <v>9</v>
      </c>
      <c r="G139" s="93">
        <f>[1]DISTRITOS!A139</f>
        <v>138</v>
      </c>
      <c r="H139" s="93" t="s">
        <v>555</v>
      </c>
      <c r="J139" s="13" t="s">
        <v>138</v>
      </c>
      <c r="K139" s="61" t="s">
        <v>329</v>
      </c>
      <c r="L139" s="13" t="s">
        <v>9</v>
      </c>
      <c r="M139" s="94">
        <v>1</v>
      </c>
      <c r="T139" s="63" t="s">
        <v>351</v>
      </c>
      <c r="U139" s="63" t="s">
        <v>352</v>
      </c>
      <c r="V139" s="63" t="str">
        <f t="shared" si="10"/>
        <v>SAN ANTONIO MASAHUAT-0807-CENTRO</v>
      </c>
      <c r="W139" s="64" t="str">
        <f t="shared" si="11"/>
        <v>0807-081079-001-9</v>
      </c>
      <c r="X139" s="15" t="str">
        <f t="shared" si="12"/>
        <v>SAN ANTONIO MASAHUAT CENTRO</v>
      </c>
      <c r="Y139" s="1" t="str">
        <f t="shared" si="13"/>
        <v>0807-081079-001-9 SAN ANTONIO MASAHUAT CENTRO</v>
      </c>
      <c r="Z139" s="1" t="str">
        <f t="shared" si="14"/>
        <v>0807 SAN ANTONIO MASAHUAT-CENTRO</v>
      </c>
    </row>
    <row r="140" spans="1:29" ht="32" x14ac:dyDescent="0.4">
      <c r="B140" s="93" t="s">
        <v>511</v>
      </c>
      <c r="C140" s="93" t="s">
        <v>353</v>
      </c>
      <c r="D140" s="93" t="s">
        <v>354</v>
      </c>
      <c r="E140" s="93" t="s">
        <v>348</v>
      </c>
      <c r="F140" s="94">
        <v>9</v>
      </c>
      <c r="G140" s="93">
        <f>[1]DISTRITOS!A140</f>
        <v>139</v>
      </c>
      <c r="H140" s="93" t="s">
        <v>556</v>
      </c>
      <c r="J140" s="13" t="s">
        <v>139</v>
      </c>
      <c r="K140" s="61" t="s">
        <v>329</v>
      </c>
      <c r="L140" s="13" t="s">
        <v>9</v>
      </c>
      <c r="M140" s="94">
        <v>1</v>
      </c>
      <c r="T140" s="63" t="s">
        <v>351</v>
      </c>
      <c r="U140" s="63" t="s">
        <v>352</v>
      </c>
      <c r="V140" s="63" t="str">
        <f t="shared" si="10"/>
        <v>SAN EMIGDIO-0808-CENTRO</v>
      </c>
      <c r="W140" s="64" t="str">
        <f t="shared" si="11"/>
        <v>0808-081079-001-9</v>
      </c>
      <c r="X140" s="15" t="str">
        <f t="shared" si="12"/>
        <v>SAN EMIGDIO CENTRO</v>
      </c>
      <c r="Y140" s="1" t="str">
        <f t="shared" si="13"/>
        <v>0808-081079-001-9 SAN EMIGDIO CENTRO</v>
      </c>
      <c r="Z140" s="1" t="str">
        <f t="shared" si="14"/>
        <v>0808 SAN EMIGDIO-CENTRO</v>
      </c>
    </row>
    <row r="141" spans="1:29" ht="32" x14ac:dyDescent="0.4">
      <c r="B141" s="93" t="s">
        <v>511</v>
      </c>
      <c r="C141" s="93" t="s">
        <v>353</v>
      </c>
      <c r="D141" s="93" t="s">
        <v>354</v>
      </c>
      <c r="E141" s="93" t="s">
        <v>348</v>
      </c>
      <c r="F141" s="94">
        <v>9</v>
      </c>
      <c r="G141" s="93">
        <f>[1]DISTRITOS!A141</f>
        <v>140</v>
      </c>
      <c r="H141" s="93" t="s">
        <v>557</v>
      </c>
      <c r="J141" s="13" t="s">
        <v>133</v>
      </c>
      <c r="K141" s="61" t="s">
        <v>333</v>
      </c>
      <c r="L141" s="13" t="s">
        <v>9</v>
      </c>
      <c r="Q141" s="94">
        <v>1</v>
      </c>
      <c r="T141" s="63" t="s">
        <v>351</v>
      </c>
      <c r="U141" s="63" t="s">
        <v>352</v>
      </c>
      <c r="V141" s="63" t="str">
        <f t="shared" si="10"/>
        <v>SAN FRANCISCO CHINAMECA-0809-OESTE</v>
      </c>
      <c r="W141" s="64" t="str">
        <f t="shared" si="11"/>
        <v>0809-081079-001-9</v>
      </c>
      <c r="X141" s="15" t="str">
        <f t="shared" si="12"/>
        <v>SAN FRANCISCO CHINAMECA OESTE</v>
      </c>
      <c r="Y141" s="1" t="str">
        <f t="shared" si="13"/>
        <v>0809-081079-001-9 SAN FRANCISCO CHINAMECA OESTE</v>
      </c>
      <c r="Z141" s="1" t="str">
        <f t="shared" si="14"/>
        <v>0809 SAN FRANCISCO CHINAMECA-OESTE</v>
      </c>
    </row>
    <row r="142" spans="1:29" x14ac:dyDescent="0.4">
      <c r="A142" s="13" t="s">
        <v>373</v>
      </c>
      <c r="B142" s="93" t="s">
        <v>511</v>
      </c>
      <c r="C142" s="93" t="s">
        <v>353</v>
      </c>
      <c r="D142" s="93" t="s">
        <v>354</v>
      </c>
      <c r="E142" s="93" t="s">
        <v>348</v>
      </c>
      <c r="F142" s="94">
        <v>0</v>
      </c>
      <c r="G142" s="93">
        <f>[1]DISTRITOS!A142</f>
        <v>141</v>
      </c>
      <c r="H142" s="93" t="s">
        <v>558</v>
      </c>
      <c r="J142" s="13" t="s">
        <v>146</v>
      </c>
      <c r="K142" s="1" t="s">
        <v>331</v>
      </c>
      <c r="L142" s="13" t="s">
        <v>9</v>
      </c>
      <c r="O142" s="94">
        <v>1</v>
      </c>
      <c r="T142" s="63" t="s">
        <v>351</v>
      </c>
      <c r="U142" s="63" t="s">
        <v>352</v>
      </c>
      <c r="V142" s="63" t="str">
        <f t="shared" si="10"/>
        <v>SAN JUAN NONUALCO-0810-ESTE</v>
      </c>
      <c r="W142" s="64" t="str">
        <f t="shared" si="11"/>
        <v>0810-081079-001-0</v>
      </c>
      <c r="X142" s="15" t="str">
        <f t="shared" si="12"/>
        <v>SAN JUAN NONUALCO ESTE</v>
      </c>
      <c r="Y142" s="1" t="str">
        <f t="shared" si="13"/>
        <v>0810-081079-001-0 SAN JUAN NONUALCO ESTE</v>
      </c>
      <c r="Z142" s="1" t="str">
        <f t="shared" si="14"/>
        <v>0810 SAN JUAN NONUALCO-ESTE</v>
      </c>
      <c r="AA142" s="95">
        <v>391.96</v>
      </c>
      <c r="AB142" s="96">
        <v>96565</v>
      </c>
      <c r="AC142" s="95">
        <v>246.36</v>
      </c>
    </row>
    <row r="143" spans="1:29" ht="32" x14ac:dyDescent="0.4">
      <c r="B143" s="93" t="s">
        <v>511</v>
      </c>
      <c r="C143" s="93" t="s">
        <v>353</v>
      </c>
      <c r="D143" s="93" t="s">
        <v>354</v>
      </c>
      <c r="E143" s="93" t="s">
        <v>348</v>
      </c>
      <c r="F143" s="94">
        <v>0</v>
      </c>
      <c r="G143" s="93">
        <f>[1]DISTRITOS!A143</f>
        <v>142</v>
      </c>
      <c r="H143" s="93" t="s">
        <v>559</v>
      </c>
      <c r="J143" s="13" t="s">
        <v>129</v>
      </c>
      <c r="K143" s="61" t="s">
        <v>333</v>
      </c>
      <c r="L143" s="13" t="s">
        <v>9</v>
      </c>
      <c r="Q143" s="94">
        <v>1</v>
      </c>
      <c r="T143" s="63" t="s">
        <v>351</v>
      </c>
      <c r="U143" s="63" t="s">
        <v>352</v>
      </c>
      <c r="V143" s="63" t="str">
        <f t="shared" si="10"/>
        <v>SAN JUAN TALPA-0811-OESTE</v>
      </c>
      <c r="W143" s="64" t="str">
        <f t="shared" si="11"/>
        <v>0811-081079-001-0</v>
      </c>
      <c r="X143" s="15" t="str">
        <f t="shared" si="12"/>
        <v>SAN JUAN TALPA OESTE</v>
      </c>
      <c r="Y143" s="1" t="str">
        <f t="shared" si="13"/>
        <v>0811-081079-001-0 SAN JUAN TALPA OESTE</v>
      </c>
      <c r="Z143" s="1" t="str">
        <f t="shared" si="14"/>
        <v>0811 SAN JUAN TALPA-OESTE</v>
      </c>
    </row>
    <row r="144" spans="1:29" ht="32" x14ac:dyDescent="0.4">
      <c r="B144" s="93" t="s">
        <v>511</v>
      </c>
      <c r="C144" s="93" t="s">
        <v>353</v>
      </c>
      <c r="D144" s="93" t="s">
        <v>354</v>
      </c>
      <c r="E144" s="93" t="s">
        <v>348</v>
      </c>
      <c r="F144" s="94">
        <v>0</v>
      </c>
      <c r="G144" s="93">
        <f>[1]DISTRITOS!A144</f>
        <v>143</v>
      </c>
      <c r="H144" s="93" t="s">
        <v>560</v>
      </c>
      <c r="J144" s="13" t="s">
        <v>140</v>
      </c>
      <c r="K144" s="61" t="s">
        <v>329</v>
      </c>
      <c r="L144" s="13" t="s">
        <v>9</v>
      </c>
      <c r="M144" s="94">
        <v>1</v>
      </c>
      <c r="T144" s="63" t="s">
        <v>351</v>
      </c>
      <c r="U144" s="63" t="s">
        <v>352</v>
      </c>
      <c r="V144" s="63" t="str">
        <f t="shared" si="10"/>
        <v>SAN JUAN TEPEZONTES-0812-CENTRO</v>
      </c>
      <c r="W144" s="64" t="str">
        <f t="shared" si="11"/>
        <v>0812-081079-001-0</v>
      </c>
      <c r="X144" s="15" t="str">
        <f t="shared" si="12"/>
        <v>SAN JUAN TEPEZONTES CENTRO</v>
      </c>
      <c r="Y144" s="1" t="str">
        <f t="shared" si="13"/>
        <v>0812-081079-001-0 SAN JUAN TEPEZONTES CENTRO</v>
      </c>
      <c r="Z144" s="1" t="str">
        <f t="shared" si="14"/>
        <v>0812 SAN JUAN TEPEZONTES-CENTRO</v>
      </c>
    </row>
    <row r="145" spans="1:29" ht="32" x14ac:dyDescent="0.4">
      <c r="B145" s="93" t="s">
        <v>511</v>
      </c>
      <c r="C145" s="93" t="s">
        <v>353</v>
      </c>
      <c r="D145" s="93" t="s">
        <v>354</v>
      </c>
      <c r="E145" s="93" t="s">
        <v>348</v>
      </c>
      <c r="F145" s="94">
        <v>0</v>
      </c>
      <c r="G145" s="93">
        <f>[1]DISTRITOS!A145</f>
        <v>144</v>
      </c>
      <c r="H145" s="93" t="s">
        <v>561</v>
      </c>
      <c r="J145" s="13" t="s">
        <v>130</v>
      </c>
      <c r="K145" s="61" t="s">
        <v>333</v>
      </c>
      <c r="L145" s="13" t="s">
        <v>9</v>
      </c>
      <c r="Q145" s="94">
        <v>1</v>
      </c>
      <c r="T145" s="63" t="s">
        <v>351</v>
      </c>
      <c r="U145" s="63" t="s">
        <v>352</v>
      </c>
      <c r="V145" s="63" t="str">
        <f t="shared" si="10"/>
        <v>SAN LUIS TALPA-0813-OESTE</v>
      </c>
      <c r="W145" s="64" t="str">
        <f t="shared" si="11"/>
        <v>0813-081079-001-0</v>
      </c>
      <c r="X145" s="15" t="str">
        <f t="shared" si="12"/>
        <v>SAN LUIS TALPA OESTE</v>
      </c>
      <c r="Y145" s="1" t="str">
        <f t="shared" si="13"/>
        <v>0813-081079-001-0 SAN LUIS TALPA OESTE</v>
      </c>
      <c r="Z145" s="1" t="str">
        <f t="shared" si="14"/>
        <v>0813 SAN LUIS TALPA-OESTE</v>
      </c>
    </row>
    <row r="146" spans="1:29" ht="32" x14ac:dyDescent="0.4">
      <c r="B146" s="93" t="s">
        <v>511</v>
      </c>
      <c r="C146" s="93" t="s">
        <v>353</v>
      </c>
      <c r="D146" s="93" t="s">
        <v>354</v>
      </c>
      <c r="E146" s="93" t="s">
        <v>348</v>
      </c>
      <c r="F146" s="94">
        <v>0</v>
      </c>
      <c r="G146" s="93">
        <f>[1]DISTRITOS!A146</f>
        <v>145</v>
      </c>
      <c r="H146" s="93" t="s">
        <v>562</v>
      </c>
      <c r="J146" s="13" t="s">
        <v>142</v>
      </c>
      <c r="K146" s="61" t="s">
        <v>329</v>
      </c>
      <c r="L146" s="13" t="s">
        <v>9</v>
      </c>
      <c r="M146" s="94">
        <v>1</v>
      </c>
      <c r="T146" s="63" t="s">
        <v>351</v>
      </c>
      <c r="U146" s="63" t="s">
        <v>352</v>
      </c>
      <c r="V146" s="63" t="str">
        <f t="shared" si="10"/>
        <v>SAN MIGUEL TEPEZONTES-0814-CENTRO</v>
      </c>
      <c r="W146" s="64" t="str">
        <f t="shared" si="11"/>
        <v>0814-081079-001-0</v>
      </c>
      <c r="X146" s="15" t="str">
        <f t="shared" si="12"/>
        <v>SAN MIGUEL TEPEZONTES CENTRO</v>
      </c>
      <c r="Y146" s="1" t="str">
        <f t="shared" si="13"/>
        <v>0814-081079-001-0 SAN MIGUEL TEPEZONTES CENTRO</v>
      </c>
      <c r="Z146" s="1" t="str">
        <f t="shared" si="14"/>
        <v>0814 SAN MIGUEL TEPEZONTES-CENTRO</v>
      </c>
    </row>
    <row r="147" spans="1:29" ht="32" x14ac:dyDescent="0.4">
      <c r="B147" s="93" t="s">
        <v>511</v>
      </c>
      <c r="C147" s="93" t="s">
        <v>353</v>
      </c>
      <c r="D147" s="93" t="s">
        <v>354</v>
      </c>
      <c r="E147" s="93" t="s">
        <v>348</v>
      </c>
      <c r="F147" s="94">
        <v>0</v>
      </c>
      <c r="G147" s="93">
        <f>[1]DISTRITOS!A147</f>
        <v>146</v>
      </c>
      <c r="H147" s="93" t="s">
        <v>563</v>
      </c>
      <c r="J147" s="13" t="s">
        <v>131</v>
      </c>
      <c r="K147" s="61" t="s">
        <v>333</v>
      </c>
      <c r="L147" s="13" t="s">
        <v>9</v>
      </c>
      <c r="Q147" s="94">
        <v>1</v>
      </c>
      <c r="T147" s="63" t="s">
        <v>351</v>
      </c>
      <c r="U147" s="63" t="s">
        <v>352</v>
      </c>
      <c r="V147" s="63" t="str">
        <f t="shared" si="10"/>
        <v>SAN PEDRO MASAHUAT-0815-OESTE</v>
      </c>
      <c r="W147" s="64" t="str">
        <f t="shared" si="11"/>
        <v>0815-081079-001-0</v>
      </c>
      <c r="X147" s="15" t="str">
        <f t="shared" si="12"/>
        <v>SAN PEDRO MASAHUAT OESTE</v>
      </c>
      <c r="Y147" s="1" t="str">
        <f t="shared" si="13"/>
        <v>0815-081079-001-0 SAN PEDRO MASAHUAT OESTE</v>
      </c>
      <c r="Z147" s="1" t="str">
        <f t="shared" si="14"/>
        <v>0815 SAN PEDRO MASAHUAT-OESTE</v>
      </c>
    </row>
    <row r="148" spans="1:29" ht="32" x14ac:dyDescent="0.4">
      <c r="B148" s="93" t="s">
        <v>511</v>
      </c>
      <c r="C148" s="93" t="s">
        <v>353</v>
      </c>
      <c r="D148" s="93" t="s">
        <v>354</v>
      </c>
      <c r="E148" s="93" t="s">
        <v>348</v>
      </c>
      <c r="F148" s="94">
        <v>0</v>
      </c>
      <c r="G148" s="93">
        <f>[1]DISTRITOS!A148</f>
        <v>147</v>
      </c>
      <c r="H148" s="93" t="s">
        <v>564</v>
      </c>
      <c r="J148" s="13" t="s">
        <v>143</v>
      </c>
      <c r="K148" s="61" t="s">
        <v>329</v>
      </c>
      <c r="L148" s="13" t="s">
        <v>9</v>
      </c>
      <c r="M148" s="94">
        <v>1</v>
      </c>
      <c r="T148" s="63" t="s">
        <v>351</v>
      </c>
      <c r="U148" s="63" t="s">
        <v>352</v>
      </c>
      <c r="V148" s="63" t="str">
        <f t="shared" si="10"/>
        <v>SAN PEDRO NONUALCO-0816-CENTRO</v>
      </c>
      <c r="W148" s="64" t="str">
        <f t="shared" si="11"/>
        <v>0816-081079-001-0</v>
      </c>
      <c r="X148" s="15" t="str">
        <f t="shared" si="12"/>
        <v>SAN PEDRO NONUALCO CENTRO</v>
      </c>
      <c r="Y148" s="1" t="str">
        <f t="shared" si="13"/>
        <v>0816-081079-001-0 SAN PEDRO NONUALCO CENTRO</v>
      </c>
      <c r="Z148" s="1" t="str">
        <f t="shared" si="14"/>
        <v>0816 SAN PEDRO NONUALCO-CENTRO</v>
      </c>
    </row>
    <row r="149" spans="1:29" x14ac:dyDescent="0.4">
      <c r="B149" s="93" t="s">
        <v>511</v>
      </c>
      <c r="C149" s="93" t="s">
        <v>353</v>
      </c>
      <c r="D149" s="93" t="s">
        <v>354</v>
      </c>
      <c r="E149" s="93" t="s">
        <v>348</v>
      </c>
      <c r="F149" s="94">
        <v>0</v>
      </c>
      <c r="G149" s="93">
        <f>[1]DISTRITOS!A149</f>
        <v>148</v>
      </c>
      <c r="H149" s="93" t="s">
        <v>565</v>
      </c>
      <c r="J149" s="13" t="s">
        <v>147</v>
      </c>
      <c r="K149" s="1" t="s">
        <v>331</v>
      </c>
      <c r="L149" s="13" t="s">
        <v>9</v>
      </c>
      <c r="O149" s="94">
        <v>1</v>
      </c>
      <c r="T149" s="63" t="s">
        <v>351</v>
      </c>
      <c r="U149" s="63" t="s">
        <v>352</v>
      </c>
      <c r="V149" s="63" t="str">
        <f t="shared" si="10"/>
        <v>SAN RAFAEL OBRAJUELO-0817-ESTE</v>
      </c>
      <c r="W149" s="64" t="str">
        <f t="shared" si="11"/>
        <v>0817-081079-001-0</v>
      </c>
      <c r="X149" s="15" t="str">
        <f t="shared" si="12"/>
        <v>SAN RAFAEL OBRAJUELO ESTE</v>
      </c>
      <c r="Y149" s="1" t="str">
        <f t="shared" si="13"/>
        <v>0817-081079-001-0 SAN RAFAEL OBRAJUELO ESTE</v>
      </c>
      <c r="Z149" s="1" t="str">
        <f t="shared" si="14"/>
        <v>0817 SAN RAFAEL OBRAJUELO-ESTE</v>
      </c>
    </row>
    <row r="150" spans="1:29" ht="32" x14ac:dyDescent="0.4">
      <c r="B150" s="93" t="s">
        <v>511</v>
      </c>
      <c r="C150" s="93" t="s">
        <v>353</v>
      </c>
      <c r="D150" s="93" t="s">
        <v>354</v>
      </c>
      <c r="E150" s="93" t="s">
        <v>348</v>
      </c>
      <c r="F150" s="94">
        <v>0</v>
      </c>
      <c r="G150" s="93">
        <f>[1]DISTRITOS!A150</f>
        <v>149</v>
      </c>
      <c r="H150" s="93" t="s">
        <v>566</v>
      </c>
      <c r="J150" s="13" t="s">
        <v>567</v>
      </c>
      <c r="K150" s="61" t="s">
        <v>329</v>
      </c>
      <c r="L150" s="13" t="s">
        <v>9</v>
      </c>
      <c r="M150" s="94">
        <v>1</v>
      </c>
      <c r="T150" s="63" t="s">
        <v>351</v>
      </c>
      <c r="U150" s="63" t="s">
        <v>352</v>
      </c>
      <c r="V150" s="63" t="str">
        <f t="shared" si="10"/>
        <v>SANTA MARIA OSTUMA-0818-CENTRO</v>
      </c>
      <c r="W150" s="64" t="str">
        <f t="shared" si="11"/>
        <v>0818-081079-001-0</v>
      </c>
      <c r="X150" s="15" t="str">
        <f t="shared" si="12"/>
        <v>SANTA MARIA OSTUMA CENTRO</v>
      </c>
      <c r="Y150" s="1" t="str">
        <f t="shared" si="13"/>
        <v>0818-081079-001-0 SANTA MARIA OSTUMA CENTRO</v>
      </c>
      <c r="Z150" s="1" t="str">
        <f t="shared" si="14"/>
        <v>0818 SANTA MARIA OSTUMA-CENTRO</v>
      </c>
    </row>
    <row r="151" spans="1:29" ht="32" x14ac:dyDescent="0.4">
      <c r="B151" s="93" t="s">
        <v>511</v>
      </c>
      <c r="C151" s="93" t="s">
        <v>353</v>
      </c>
      <c r="D151" s="93" t="s">
        <v>354</v>
      </c>
      <c r="E151" s="93" t="s">
        <v>348</v>
      </c>
      <c r="F151" s="94">
        <v>0</v>
      </c>
      <c r="G151" s="93">
        <f>[1]DISTRITOS!A151</f>
        <v>150</v>
      </c>
      <c r="H151" s="93" t="s">
        <v>568</v>
      </c>
      <c r="J151" s="13" t="s">
        <v>145</v>
      </c>
      <c r="K151" s="61" t="s">
        <v>329</v>
      </c>
      <c r="L151" s="13" t="s">
        <v>9</v>
      </c>
      <c r="M151" s="94">
        <v>1</v>
      </c>
      <c r="T151" s="63" t="s">
        <v>351</v>
      </c>
      <c r="U151" s="63" t="s">
        <v>352</v>
      </c>
      <c r="V151" s="63" t="str">
        <f t="shared" si="10"/>
        <v>SANTIAGO NONUALCO-0819-CENTRO</v>
      </c>
      <c r="W151" s="64" t="str">
        <f t="shared" si="11"/>
        <v>0819-081079-001-0</v>
      </c>
      <c r="X151" s="15" t="str">
        <f t="shared" si="12"/>
        <v>SANTIAGO NONUALCO CENTRO</v>
      </c>
      <c r="Y151" s="1" t="str">
        <f t="shared" si="13"/>
        <v>0819-081079-001-0 SANTIAGO NONUALCO CENTRO</v>
      </c>
      <c r="Z151" s="1" t="str">
        <f t="shared" si="14"/>
        <v>0819 SANTIAGO NONUALCO-CENTRO</v>
      </c>
    </row>
    <row r="152" spans="1:29" ht="32" x14ac:dyDescent="0.4">
      <c r="B152" s="93" t="s">
        <v>569</v>
      </c>
      <c r="C152" s="93" t="s">
        <v>395</v>
      </c>
      <c r="D152" s="93" t="s">
        <v>570</v>
      </c>
      <c r="E152" s="93" t="s">
        <v>348</v>
      </c>
      <c r="F152" s="94">
        <v>4</v>
      </c>
      <c r="G152" s="93">
        <f>[1]DISTRITOS!A152</f>
        <v>151</v>
      </c>
      <c r="H152" s="93" t="s">
        <v>571</v>
      </c>
      <c r="J152" s="13" t="s">
        <v>132</v>
      </c>
      <c r="K152" s="61" t="s">
        <v>333</v>
      </c>
      <c r="L152" s="13" t="s">
        <v>9</v>
      </c>
      <c r="Q152" s="94">
        <v>1</v>
      </c>
      <c r="T152" s="63" t="s">
        <v>351</v>
      </c>
      <c r="U152" s="63" t="s">
        <v>352</v>
      </c>
      <c r="V152" s="63" t="str">
        <f t="shared" si="10"/>
        <v>TAPALHUACA-0820-OESTE</v>
      </c>
      <c r="W152" s="64" t="str">
        <f t="shared" si="11"/>
        <v>0820-200316-001-4</v>
      </c>
      <c r="X152" s="15" t="str">
        <f t="shared" si="12"/>
        <v>TAPALHUACA OESTE</v>
      </c>
      <c r="Y152" s="1" t="str">
        <f t="shared" si="13"/>
        <v>0820-200316-001-4 TAPALHUACA OESTE</v>
      </c>
      <c r="Z152" s="1" t="str">
        <f t="shared" si="14"/>
        <v>0820 TAPALHUACA-OESTE</v>
      </c>
    </row>
    <row r="153" spans="1:29" x14ac:dyDescent="0.4">
      <c r="B153" s="93" t="s">
        <v>345</v>
      </c>
      <c r="C153" s="93" t="s">
        <v>346</v>
      </c>
      <c r="D153" s="93" t="s">
        <v>347</v>
      </c>
      <c r="E153" s="93" t="s">
        <v>348</v>
      </c>
      <c r="F153" s="94">
        <v>5</v>
      </c>
      <c r="G153" s="93">
        <f>[1]DISTRITOS!A153</f>
        <v>152</v>
      </c>
      <c r="H153" s="93" t="s">
        <v>572</v>
      </c>
      <c r="I153" s="1">
        <f>[2]DEPARTAMENTOS!A9</f>
        <v>8</v>
      </c>
      <c r="J153" s="13" t="s">
        <v>148</v>
      </c>
      <c r="K153" s="1" t="s">
        <v>331</v>
      </c>
      <c r="L153" s="13" t="s">
        <v>9</v>
      </c>
      <c r="O153" s="94">
        <v>1</v>
      </c>
      <c r="T153" s="63" t="s">
        <v>351</v>
      </c>
      <c r="U153" s="63" t="s">
        <v>352</v>
      </c>
      <c r="V153" s="63" t="str">
        <f t="shared" si="10"/>
        <v>ZACATECOLUCA-0821-ESTE</v>
      </c>
      <c r="W153" s="64" t="str">
        <f t="shared" si="11"/>
        <v>0821-010611-001-5</v>
      </c>
      <c r="X153" s="15" t="str">
        <f t="shared" si="12"/>
        <v>ZACATECOLUCA ESTE</v>
      </c>
      <c r="Y153" s="1" t="str">
        <f t="shared" si="13"/>
        <v>0821-010611-001-5 ZACATECOLUCA ESTE</v>
      </c>
      <c r="Z153" s="1" t="str">
        <f t="shared" si="14"/>
        <v>0821 ZACATECOLUCA-ESTE</v>
      </c>
    </row>
    <row r="154" spans="1:29" ht="32" x14ac:dyDescent="0.4">
      <c r="B154" s="93" t="s">
        <v>573</v>
      </c>
      <c r="C154" s="93" t="s">
        <v>353</v>
      </c>
      <c r="D154" s="93" t="s">
        <v>574</v>
      </c>
      <c r="E154" s="93" t="s">
        <v>348</v>
      </c>
      <c r="F154" s="94">
        <v>4</v>
      </c>
      <c r="G154" s="93">
        <f>[1]DISTRITOS!A154</f>
        <v>153</v>
      </c>
      <c r="H154" s="93" t="s">
        <v>575</v>
      </c>
      <c r="J154" s="13" t="s">
        <v>141</v>
      </c>
      <c r="K154" s="61" t="s">
        <v>329</v>
      </c>
      <c r="L154" s="13" t="s">
        <v>9</v>
      </c>
      <c r="M154" s="94">
        <v>1</v>
      </c>
      <c r="T154" s="63" t="s">
        <v>351</v>
      </c>
      <c r="U154" s="63" t="s">
        <v>352</v>
      </c>
      <c r="V154" s="63" t="str">
        <f t="shared" si="10"/>
        <v>SAN LUIS LA HERRADURA-0822-CENTRO</v>
      </c>
      <c r="W154" s="64" t="str">
        <f t="shared" si="11"/>
        <v>0822-271084-001-4</v>
      </c>
      <c r="X154" s="15" t="str">
        <f t="shared" si="12"/>
        <v>SAN LUIS LA HERRADURA CENTRO</v>
      </c>
      <c r="Y154" s="1" t="str">
        <f t="shared" si="13"/>
        <v>0822-271084-001-4 SAN LUIS LA HERRADURA CENTRO</v>
      </c>
      <c r="Z154" s="1" t="str">
        <f t="shared" si="14"/>
        <v>0822 SAN LUIS LA HERRADURA-CENTRO</v>
      </c>
    </row>
    <row r="155" spans="1:29" ht="32" x14ac:dyDescent="0.4">
      <c r="A155" s="12" t="s">
        <v>371</v>
      </c>
      <c r="B155" s="97" t="s">
        <v>576</v>
      </c>
      <c r="C155" s="97" t="s">
        <v>464</v>
      </c>
      <c r="D155" s="97" t="s">
        <v>577</v>
      </c>
      <c r="E155" s="97" t="s">
        <v>348</v>
      </c>
      <c r="F155" s="98">
        <v>6</v>
      </c>
      <c r="G155" s="97">
        <f>[1]DISTRITOS!A155</f>
        <v>154</v>
      </c>
      <c r="H155" s="97" t="s">
        <v>578</v>
      </c>
      <c r="I155" s="12"/>
      <c r="J155" s="12" t="s">
        <v>169</v>
      </c>
      <c r="K155" s="61" t="s">
        <v>333</v>
      </c>
      <c r="L155" s="12" t="s">
        <v>10</v>
      </c>
      <c r="M155" s="98"/>
      <c r="N155" s="98"/>
      <c r="O155" s="98"/>
      <c r="P155" s="98"/>
      <c r="Q155" s="98">
        <v>1</v>
      </c>
      <c r="R155" s="98"/>
      <c r="S155" s="12"/>
      <c r="T155" s="63" t="s">
        <v>351</v>
      </c>
      <c r="U155" s="63" t="s">
        <v>352</v>
      </c>
      <c r="V155" s="63" t="str">
        <f t="shared" si="10"/>
        <v>CINQUERA-0901-OESTE</v>
      </c>
      <c r="W155" s="64" t="str">
        <f t="shared" si="11"/>
        <v>0901-130547-001-6</v>
      </c>
      <c r="X155" s="15" t="str">
        <f t="shared" si="12"/>
        <v>CINQUERA OESTE</v>
      </c>
      <c r="Y155" s="1" t="str">
        <f t="shared" si="13"/>
        <v>0901-130547-001-6 CINQUERA OESTE</v>
      </c>
      <c r="Z155" s="1" t="str">
        <f t="shared" si="14"/>
        <v>0901 CINQUERA-OESTE</v>
      </c>
      <c r="AA155" s="99">
        <v>401.84</v>
      </c>
      <c r="AB155" s="100">
        <v>86875</v>
      </c>
      <c r="AC155" s="99">
        <v>216.19</v>
      </c>
    </row>
    <row r="156" spans="1:29" x14ac:dyDescent="0.4">
      <c r="A156" s="12" t="s">
        <v>373</v>
      </c>
      <c r="B156" s="97" t="s">
        <v>353</v>
      </c>
      <c r="C156" s="97" t="s">
        <v>376</v>
      </c>
      <c r="D156" s="97" t="s">
        <v>579</v>
      </c>
      <c r="E156" s="97" t="s">
        <v>348</v>
      </c>
      <c r="F156" s="98">
        <v>0</v>
      </c>
      <c r="G156" s="97">
        <f>[1]DISTRITOS!A156</f>
        <v>155</v>
      </c>
      <c r="H156" s="97" t="s">
        <v>580</v>
      </c>
      <c r="J156" s="12" t="s">
        <v>164</v>
      </c>
      <c r="K156" s="1" t="s">
        <v>331</v>
      </c>
      <c r="L156" s="12" t="s">
        <v>10</v>
      </c>
      <c r="O156" s="98">
        <v>1</v>
      </c>
      <c r="T156" s="63" t="s">
        <v>351</v>
      </c>
      <c r="U156" s="63" t="s">
        <v>352</v>
      </c>
      <c r="V156" s="63" t="str">
        <f t="shared" si="10"/>
        <v>GUACOTECTI-0902-ESTE</v>
      </c>
      <c r="W156" s="64" t="str">
        <f t="shared" si="11"/>
        <v>0902-100273-001-0</v>
      </c>
      <c r="X156" s="15" t="str">
        <f t="shared" si="12"/>
        <v>GUACOTECTI ESTE</v>
      </c>
      <c r="Y156" s="1" t="str">
        <f t="shared" si="13"/>
        <v>0902-100273-001-0 GUACOTECTI ESTE</v>
      </c>
      <c r="Z156" s="1" t="str">
        <f t="shared" si="14"/>
        <v>0902 GUACOTECTI-ESTE</v>
      </c>
      <c r="AA156" s="99">
        <v>701.67</v>
      </c>
      <c r="AB156" s="100">
        <v>66727</v>
      </c>
      <c r="AC156" s="99">
        <v>95.1</v>
      </c>
    </row>
    <row r="157" spans="1:29" ht="32" x14ac:dyDescent="0.4">
      <c r="B157" s="97" t="s">
        <v>346</v>
      </c>
      <c r="C157" s="97" t="s">
        <v>499</v>
      </c>
      <c r="D157" s="97" t="s">
        <v>354</v>
      </c>
      <c r="E157" s="97" t="s">
        <v>348</v>
      </c>
      <c r="F157" s="98">
        <v>4</v>
      </c>
      <c r="G157" s="97">
        <f>[1]DISTRITOS!A157</f>
        <v>156</v>
      </c>
      <c r="H157" s="97" t="s">
        <v>581</v>
      </c>
      <c r="J157" s="12" t="s">
        <v>170</v>
      </c>
      <c r="K157" s="61" t="s">
        <v>333</v>
      </c>
      <c r="L157" s="12" t="s">
        <v>10</v>
      </c>
      <c r="Q157" s="98">
        <v>1</v>
      </c>
      <c r="T157" s="63" t="s">
        <v>351</v>
      </c>
      <c r="U157" s="63" t="s">
        <v>352</v>
      </c>
      <c r="V157" s="63" t="str">
        <f t="shared" si="10"/>
        <v>ILOBASCO-0903-OESTE</v>
      </c>
      <c r="W157" s="64" t="str">
        <f t="shared" si="11"/>
        <v>0903-060979-001-4</v>
      </c>
      <c r="X157" s="15" t="str">
        <f t="shared" si="12"/>
        <v>ILOBASCO OESTE</v>
      </c>
      <c r="Y157" s="1" t="str">
        <f t="shared" si="13"/>
        <v>0903-060979-001-4 ILOBASCO OESTE</v>
      </c>
      <c r="Z157" s="1" t="str">
        <f t="shared" si="14"/>
        <v>0903 ILOBASCO-OESTE</v>
      </c>
    </row>
    <row r="158" spans="1:29" ht="32" x14ac:dyDescent="0.4">
      <c r="B158" s="97" t="s">
        <v>499</v>
      </c>
      <c r="C158" s="97" t="s">
        <v>353</v>
      </c>
      <c r="D158" s="97" t="s">
        <v>354</v>
      </c>
      <c r="E158" s="97" t="s">
        <v>348</v>
      </c>
      <c r="F158" s="98">
        <v>9</v>
      </c>
      <c r="G158" s="97">
        <f>[1]DISTRITOS!A158</f>
        <v>157</v>
      </c>
      <c r="H158" s="97" t="s">
        <v>582</v>
      </c>
      <c r="J158" s="12" t="s">
        <v>171</v>
      </c>
      <c r="K158" s="61" t="s">
        <v>333</v>
      </c>
      <c r="L158" s="12" t="s">
        <v>10</v>
      </c>
      <c r="Q158" s="98">
        <v>1</v>
      </c>
      <c r="T158" s="63" t="s">
        <v>351</v>
      </c>
      <c r="U158" s="63" t="s">
        <v>352</v>
      </c>
      <c r="V158" s="63" t="str">
        <f t="shared" si="10"/>
        <v>JUTIAPA-0904-OESTE</v>
      </c>
      <c r="W158" s="64" t="str">
        <f t="shared" si="11"/>
        <v>0904-091079-001-9</v>
      </c>
      <c r="X158" s="15" t="str">
        <f t="shared" si="12"/>
        <v>JUTIAPA OESTE</v>
      </c>
      <c r="Y158" s="1" t="str">
        <f t="shared" si="13"/>
        <v>0904-091079-001-9 JUTIAPA OESTE</v>
      </c>
      <c r="Z158" s="1" t="str">
        <f t="shared" si="14"/>
        <v>0904 JUTIAPA-OESTE</v>
      </c>
    </row>
    <row r="159" spans="1:29" x14ac:dyDescent="0.4">
      <c r="B159" s="97" t="s">
        <v>499</v>
      </c>
      <c r="C159" s="97" t="s">
        <v>353</v>
      </c>
      <c r="D159" s="97" t="s">
        <v>354</v>
      </c>
      <c r="E159" s="97" t="s">
        <v>348</v>
      </c>
      <c r="F159" s="98">
        <v>9</v>
      </c>
      <c r="G159" s="97">
        <f>[1]DISTRITOS!A159</f>
        <v>158</v>
      </c>
      <c r="H159" s="97" t="s">
        <v>583</v>
      </c>
      <c r="J159" s="12" t="s">
        <v>165</v>
      </c>
      <c r="K159" s="1" t="s">
        <v>331</v>
      </c>
      <c r="L159" s="12" t="s">
        <v>10</v>
      </c>
      <c r="O159" s="98">
        <v>1</v>
      </c>
      <c r="T159" s="63" t="s">
        <v>351</v>
      </c>
      <c r="U159" s="63" t="s">
        <v>352</v>
      </c>
      <c r="V159" s="63" t="str">
        <f t="shared" si="10"/>
        <v>SAN ISIDRO-0905-ESTE</v>
      </c>
      <c r="W159" s="64" t="str">
        <f t="shared" si="11"/>
        <v>0905-091079-001-9</v>
      </c>
      <c r="X159" s="15" t="str">
        <f t="shared" si="12"/>
        <v>SAN ISIDRO ESTE</v>
      </c>
      <c r="Y159" s="1" t="str">
        <f t="shared" si="13"/>
        <v>0905-091079-001-9 SAN ISIDRO ESTE</v>
      </c>
      <c r="Z159" s="1" t="str">
        <f t="shared" si="14"/>
        <v>0905 SAN ISIDRO-ESTE</v>
      </c>
    </row>
    <row r="160" spans="1:29" x14ac:dyDescent="0.4">
      <c r="B160" s="97" t="s">
        <v>345</v>
      </c>
      <c r="C160" s="97" t="s">
        <v>346</v>
      </c>
      <c r="D160" s="97" t="s">
        <v>347</v>
      </c>
      <c r="E160" s="97" t="s">
        <v>348</v>
      </c>
      <c r="F160" s="98">
        <v>5</v>
      </c>
      <c r="G160" s="97">
        <f>[1]DISTRITOS!A160</f>
        <v>159</v>
      </c>
      <c r="H160" s="97" t="s">
        <v>584</v>
      </c>
      <c r="I160" s="1">
        <f>[2]DEPARTAMENTOS!A10</f>
        <v>9</v>
      </c>
      <c r="J160" s="12" t="s">
        <v>166</v>
      </c>
      <c r="K160" s="1" t="s">
        <v>331</v>
      </c>
      <c r="L160" s="12" t="s">
        <v>10</v>
      </c>
      <c r="O160" s="98">
        <v>1</v>
      </c>
      <c r="T160" s="63" t="s">
        <v>351</v>
      </c>
      <c r="U160" s="63" t="s">
        <v>352</v>
      </c>
      <c r="V160" s="63" t="str">
        <f t="shared" si="10"/>
        <v>SENSUNTEPEQUE-0906-ESTE</v>
      </c>
      <c r="W160" s="64" t="str">
        <f t="shared" si="11"/>
        <v>0906-010611-001-5</v>
      </c>
      <c r="X160" s="15" t="str">
        <f t="shared" si="12"/>
        <v>SENSUNTEPEQUE ESTE</v>
      </c>
      <c r="Y160" s="1" t="str">
        <f t="shared" si="13"/>
        <v>0906-010611-001-5 SENSUNTEPEQUE ESTE</v>
      </c>
      <c r="Z160" s="1" t="str">
        <f t="shared" si="14"/>
        <v>0906 SENSUNTEPEQUE-ESTE</v>
      </c>
    </row>
    <row r="161" spans="1:29" ht="32" x14ac:dyDescent="0.4">
      <c r="B161" s="97" t="s">
        <v>499</v>
      </c>
      <c r="C161" s="97" t="s">
        <v>353</v>
      </c>
      <c r="D161" s="97" t="s">
        <v>354</v>
      </c>
      <c r="E161" s="97" t="s">
        <v>348</v>
      </c>
      <c r="F161" s="98">
        <v>9</v>
      </c>
      <c r="G161" s="97">
        <f>[1]DISTRITOS!A161</f>
        <v>160</v>
      </c>
      <c r="H161" s="97" t="s">
        <v>585</v>
      </c>
      <c r="J161" s="12" t="s">
        <v>172</v>
      </c>
      <c r="K161" s="61" t="s">
        <v>333</v>
      </c>
      <c r="L161" s="12" t="s">
        <v>10</v>
      </c>
      <c r="Q161" s="98">
        <v>1</v>
      </c>
      <c r="T161" s="63" t="s">
        <v>351</v>
      </c>
      <c r="U161" s="63" t="s">
        <v>352</v>
      </c>
      <c r="V161" s="63" t="str">
        <f t="shared" si="10"/>
        <v>TEJUTEPEQUE-0907-OESTE</v>
      </c>
      <c r="W161" s="64" t="str">
        <f t="shared" si="11"/>
        <v>0907-091079-001-9</v>
      </c>
      <c r="X161" s="15" t="str">
        <f t="shared" si="12"/>
        <v>TEJUTEPEQUE OESTE</v>
      </c>
      <c r="Y161" s="1" t="str">
        <f t="shared" si="13"/>
        <v>0907-091079-001-9 TEJUTEPEQUE OESTE</v>
      </c>
      <c r="Z161" s="1" t="str">
        <f t="shared" si="14"/>
        <v>0907 TEJUTEPEQUE-OESTE</v>
      </c>
    </row>
    <row r="162" spans="1:29" x14ac:dyDescent="0.4">
      <c r="B162" s="97" t="s">
        <v>499</v>
      </c>
      <c r="C162" s="97" t="s">
        <v>353</v>
      </c>
      <c r="D162" s="97" t="s">
        <v>354</v>
      </c>
      <c r="E162" s="97" t="s">
        <v>348</v>
      </c>
      <c r="F162" s="98">
        <v>9</v>
      </c>
      <c r="G162" s="97">
        <f>[1]DISTRITOS!A162</f>
        <v>161</v>
      </c>
      <c r="H162" s="97" t="s">
        <v>586</v>
      </c>
      <c r="J162" s="12" t="s">
        <v>167</v>
      </c>
      <c r="K162" s="1" t="s">
        <v>331</v>
      </c>
      <c r="L162" s="12" t="s">
        <v>10</v>
      </c>
      <c r="O162" s="98">
        <v>1</v>
      </c>
      <c r="T162" s="63" t="s">
        <v>351</v>
      </c>
      <c r="U162" s="63" t="s">
        <v>352</v>
      </c>
      <c r="V162" s="63" t="str">
        <f t="shared" si="10"/>
        <v>VICTORIA-0908-ESTE</v>
      </c>
      <c r="W162" s="64" t="str">
        <f t="shared" si="11"/>
        <v>0908-091079-001-9</v>
      </c>
      <c r="X162" s="15" t="str">
        <f t="shared" si="12"/>
        <v>VICTORIA ESTE</v>
      </c>
      <c r="Y162" s="1" t="str">
        <f t="shared" si="13"/>
        <v>0908-091079-001-9 VICTORIA ESTE</v>
      </c>
      <c r="Z162" s="1" t="str">
        <f t="shared" si="14"/>
        <v>0908 VICTORIA-ESTE</v>
      </c>
    </row>
    <row r="163" spans="1:29" x14ac:dyDescent="0.4">
      <c r="B163" s="97" t="s">
        <v>499</v>
      </c>
      <c r="C163" s="97" t="s">
        <v>353</v>
      </c>
      <c r="D163" s="97" t="s">
        <v>354</v>
      </c>
      <c r="E163" s="97" t="s">
        <v>348</v>
      </c>
      <c r="F163" s="98">
        <v>9</v>
      </c>
      <c r="G163" s="97">
        <f>[1]DISTRITOS!A163</f>
        <v>162</v>
      </c>
      <c r="H163" s="97" t="s">
        <v>587</v>
      </c>
      <c r="J163" s="12" t="s">
        <v>168</v>
      </c>
      <c r="K163" s="1" t="s">
        <v>331</v>
      </c>
      <c r="L163" s="12" t="s">
        <v>10</v>
      </c>
      <c r="O163" s="98">
        <v>1</v>
      </c>
      <c r="T163" s="63" t="s">
        <v>351</v>
      </c>
      <c r="U163" s="63" t="s">
        <v>352</v>
      </c>
      <c r="V163" s="63" t="str">
        <f t="shared" si="10"/>
        <v>DOLORES-0909-ESTE</v>
      </c>
      <c r="W163" s="64" t="str">
        <f t="shared" si="11"/>
        <v>0909-091079-001-9</v>
      </c>
      <c r="X163" s="15" t="str">
        <f t="shared" si="12"/>
        <v>DOLORES ESTE</v>
      </c>
      <c r="Y163" s="1" t="str">
        <f t="shared" si="13"/>
        <v>0909-091079-001-9 DOLORES ESTE</v>
      </c>
      <c r="Z163" s="1" t="str">
        <f t="shared" si="14"/>
        <v>0909 DOLORES-ESTE</v>
      </c>
    </row>
    <row r="164" spans="1:29" x14ac:dyDescent="0.4">
      <c r="A164" s="11" t="s">
        <v>356</v>
      </c>
      <c r="B164" s="101" t="s">
        <v>353</v>
      </c>
      <c r="C164" s="101" t="s">
        <v>353</v>
      </c>
      <c r="D164" s="101" t="s">
        <v>354</v>
      </c>
      <c r="E164" s="101" t="s">
        <v>348</v>
      </c>
      <c r="F164" s="102">
        <v>0</v>
      </c>
      <c r="G164" s="101">
        <f>[1]DISTRITOS!A164</f>
        <v>163</v>
      </c>
      <c r="H164" s="101" t="s">
        <v>588</v>
      </c>
      <c r="I164" s="11"/>
      <c r="J164" s="11" t="s">
        <v>173</v>
      </c>
      <c r="K164" s="1" t="s">
        <v>332</v>
      </c>
      <c r="L164" s="11" t="s">
        <v>11</v>
      </c>
      <c r="M164" s="102"/>
      <c r="N164" s="102"/>
      <c r="O164" s="102"/>
      <c r="P164" s="102">
        <v>1</v>
      </c>
      <c r="Q164" s="102"/>
      <c r="R164" s="102"/>
      <c r="S164" s="11"/>
      <c r="T164" s="63" t="s">
        <v>351</v>
      </c>
      <c r="U164" s="63" t="s">
        <v>352</v>
      </c>
      <c r="V164" s="63" t="str">
        <f t="shared" si="10"/>
        <v>APASTEPEQUE-1001-NORTE</v>
      </c>
      <c r="W164" s="64" t="str">
        <f t="shared" si="11"/>
        <v>1001-101079-001-0</v>
      </c>
      <c r="X164" s="15" t="str">
        <f t="shared" si="12"/>
        <v>APASTEPEQUE NORTE</v>
      </c>
      <c r="Y164" s="1" t="str">
        <f t="shared" si="13"/>
        <v>1001-101079-001-0 APASTEPEQUE NORTE</v>
      </c>
      <c r="Z164" s="1" t="str">
        <f t="shared" si="14"/>
        <v>1001 APASTEPEQUE-NORTE</v>
      </c>
      <c r="AA164" s="103">
        <v>556.48</v>
      </c>
      <c r="AB164" s="104">
        <v>70209</v>
      </c>
      <c r="AC164" s="103">
        <v>126.17</v>
      </c>
    </row>
    <row r="165" spans="1:29" x14ac:dyDescent="0.4">
      <c r="B165" s="101" t="s">
        <v>353</v>
      </c>
      <c r="C165" s="101" t="s">
        <v>353</v>
      </c>
      <c r="D165" s="101" t="s">
        <v>354</v>
      </c>
      <c r="E165" s="101" t="s">
        <v>348</v>
      </c>
      <c r="F165" s="102">
        <v>0</v>
      </c>
      <c r="G165" s="101">
        <f>[1]DISTRITOS!A165</f>
        <v>164</v>
      </c>
      <c r="H165" s="101" t="s">
        <v>589</v>
      </c>
      <c r="J165" s="11" t="s">
        <v>179</v>
      </c>
      <c r="K165" s="1" t="s">
        <v>334</v>
      </c>
      <c r="L165" s="11" t="s">
        <v>11</v>
      </c>
      <c r="R165" s="102">
        <v>1</v>
      </c>
      <c r="T165" s="63" t="s">
        <v>351</v>
      </c>
      <c r="U165" s="63" t="s">
        <v>352</v>
      </c>
      <c r="V165" s="63" t="str">
        <f t="shared" si="10"/>
        <v>GUADALUPE-1002-SUR</v>
      </c>
      <c r="W165" s="64" t="str">
        <f t="shared" si="11"/>
        <v>1002-101079-001-0</v>
      </c>
      <c r="X165" s="15" t="str">
        <f t="shared" si="12"/>
        <v>GUADALUPE SUR</v>
      </c>
      <c r="Y165" s="1" t="str">
        <f t="shared" si="13"/>
        <v>1002-101079-001-0 GUADALUPE SUR</v>
      </c>
      <c r="Z165" s="1" t="str">
        <f t="shared" si="14"/>
        <v>1002 GUADALUPE-SUR</v>
      </c>
    </row>
    <row r="166" spans="1:29" x14ac:dyDescent="0.4">
      <c r="B166" s="101" t="s">
        <v>353</v>
      </c>
      <c r="C166" s="101" t="s">
        <v>353</v>
      </c>
      <c r="D166" s="101" t="s">
        <v>354</v>
      </c>
      <c r="E166" s="101" t="s">
        <v>348</v>
      </c>
      <c r="F166" s="102">
        <v>0</v>
      </c>
      <c r="G166" s="101">
        <f>[1]DISTRITOS!A166</f>
        <v>165</v>
      </c>
      <c r="H166" s="101" t="s">
        <v>590</v>
      </c>
      <c r="J166" s="11" t="s">
        <v>180</v>
      </c>
      <c r="K166" s="1" t="s">
        <v>334</v>
      </c>
      <c r="L166" s="11" t="s">
        <v>11</v>
      </c>
      <c r="R166" s="102">
        <v>1</v>
      </c>
      <c r="T166" s="63" t="s">
        <v>351</v>
      </c>
      <c r="U166" s="63" t="s">
        <v>352</v>
      </c>
      <c r="V166" s="63" t="str">
        <f t="shared" si="10"/>
        <v>SAN CAYETANO ISTEPEQUE-1003-SUR</v>
      </c>
      <c r="W166" s="64" t="str">
        <f t="shared" si="11"/>
        <v>1003-101079-001-0</v>
      </c>
      <c r="X166" s="15" t="str">
        <f t="shared" si="12"/>
        <v>SAN CAYETANO ISTEPEQUE SUR</v>
      </c>
      <c r="Y166" s="1" t="str">
        <f t="shared" si="13"/>
        <v>1003-101079-001-0 SAN CAYETANO ISTEPEQUE SUR</v>
      </c>
      <c r="Z166" s="1" t="str">
        <f t="shared" si="14"/>
        <v>1003 SAN CAYETANO ISTEPEQUE-SUR</v>
      </c>
    </row>
    <row r="167" spans="1:29" x14ac:dyDescent="0.4">
      <c r="B167" s="101" t="s">
        <v>353</v>
      </c>
      <c r="C167" s="101" t="s">
        <v>353</v>
      </c>
      <c r="D167" s="101" t="s">
        <v>354</v>
      </c>
      <c r="E167" s="101" t="s">
        <v>348</v>
      </c>
      <c r="F167" s="102">
        <v>0</v>
      </c>
      <c r="G167" s="101">
        <f>[1]DISTRITOS!A167</f>
        <v>166</v>
      </c>
      <c r="H167" s="101" t="s">
        <v>591</v>
      </c>
      <c r="J167" s="11" t="s">
        <v>174</v>
      </c>
      <c r="K167" s="1" t="s">
        <v>332</v>
      </c>
      <c r="L167" s="11" t="s">
        <v>11</v>
      </c>
      <c r="P167" s="102">
        <v>1</v>
      </c>
      <c r="T167" s="63" t="s">
        <v>351</v>
      </c>
      <c r="U167" s="63" t="s">
        <v>352</v>
      </c>
      <c r="V167" s="63" t="str">
        <f t="shared" si="10"/>
        <v>SANTA CLARA-1004-NORTE</v>
      </c>
      <c r="W167" s="64" t="str">
        <f t="shared" si="11"/>
        <v>1004-101079-001-0</v>
      </c>
      <c r="X167" s="15" t="str">
        <f t="shared" si="12"/>
        <v>SANTA CLARA NORTE</v>
      </c>
      <c r="Y167" s="1" t="str">
        <f t="shared" si="13"/>
        <v>1004-101079-001-0 SANTA CLARA NORTE</v>
      </c>
      <c r="Z167" s="1" t="str">
        <f t="shared" si="14"/>
        <v>1004 SANTA CLARA-NORTE</v>
      </c>
    </row>
    <row r="168" spans="1:29" x14ac:dyDescent="0.4">
      <c r="B168" s="101" t="s">
        <v>353</v>
      </c>
      <c r="C168" s="101" t="s">
        <v>353</v>
      </c>
      <c r="D168" s="101" t="s">
        <v>354</v>
      </c>
      <c r="E168" s="101" t="s">
        <v>348</v>
      </c>
      <c r="F168" s="102">
        <v>0</v>
      </c>
      <c r="G168" s="101">
        <f>[1]DISTRITOS!A168</f>
        <v>167</v>
      </c>
      <c r="H168" s="101" t="s">
        <v>592</v>
      </c>
      <c r="J168" s="11" t="s">
        <v>178</v>
      </c>
      <c r="K168" s="1" t="s">
        <v>332</v>
      </c>
      <c r="L168" s="11" t="s">
        <v>11</v>
      </c>
      <c r="P168" s="102">
        <v>1</v>
      </c>
      <c r="T168" s="63" t="s">
        <v>351</v>
      </c>
      <c r="U168" s="63" t="s">
        <v>352</v>
      </c>
      <c r="V168" s="63" t="str">
        <f t="shared" si="10"/>
        <v>SANTO DOMINGO-1005-NORTE</v>
      </c>
      <c r="W168" s="64" t="str">
        <f t="shared" si="11"/>
        <v>1005-101079-001-0</v>
      </c>
      <c r="X168" s="15" t="str">
        <f t="shared" si="12"/>
        <v>SANTO DOMINGO NORTE</v>
      </c>
      <c r="Y168" s="1" t="str">
        <f t="shared" si="13"/>
        <v>1005-101079-001-0 SANTO DOMINGO NORTE</v>
      </c>
      <c r="Z168" s="1" t="str">
        <f t="shared" si="14"/>
        <v>1005 SANTO DOMINGO-NORTE</v>
      </c>
    </row>
    <row r="169" spans="1:29" x14ac:dyDescent="0.4">
      <c r="B169" s="101" t="s">
        <v>353</v>
      </c>
      <c r="C169" s="101" t="s">
        <v>353</v>
      </c>
      <c r="D169" s="101" t="s">
        <v>354</v>
      </c>
      <c r="E169" s="101" t="s">
        <v>348</v>
      </c>
      <c r="F169" s="102">
        <v>0</v>
      </c>
      <c r="G169" s="101">
        <f>[1]DISTRITOS!A169</f>
        <v>168</v>
      </c>
      <c r="H169" s="101" t="s">
        <v>593</v>
      </c>
      <c r="J169" s="11" t="s">
        <v>176</v>
      </c>
      <c r="K169" s="1" t="s">
        <v>332</v>
      </c>
      <c r="L169" s="11" t="s">
        <v>11</v>
      </c>
      <c r="P169" s="102">
        <v>1</v>
      </c>
      <c r="T169" s="63" t="s">
        <v>351</v>
      </c>
      <c r="U169" s="63" t="s">
        <v>352</v>
      </c>
      <c r="V169" s="63" t="str">
        <f t="shared" si="10"/>
        <v>SAN ESTEBAN CATARINA-1006-NORTE</v>
      </c>
      <c r="W169" s="64" t="str">
        <f t="shared" si="11"/>
        <v>1006-101079-001-0</v>
      </c>
      <c r="X169" s="15" t="str">
        <f t="shared" si="12"/>
        <v>SAN ESTEBAN CATARINA NORTE</v>
      </c>
      <c r="Y169" s="1" t="str">
        <f t="shared" si="13"/>
        <v>1006-101079-001-0 SAN ESTEBAN CATARINA NORTE</v>
      </c>
      <c r="Z169" s="1" t="str">
        <f t="shared" si="14"/>
        <v>1006 SAN ESTEBAN CATARINA-NORTE</v>
      </c>
    </row>
    <row r="170" spans="1:29" x14ac:dyDescent="0.4">
      <c r="B170" s="101" t="s">
        <v>353</v>
      </c>
      <c r="C170" s="101" t="s">
        <v>353</v>
      </c>
      <c r="D170" s="101" t="s">
        <v>354</v>
      </c>
      <c r="E170" s="101" t="s">
        <v>348</v>
      </c>
      <c r="F170" s="102">
        <v>0</v>
      </c>
      <c r="G170" s="101">
        <f>[1]DISTRITOS!A170</f>
        <v>169</v>
      </c>
      <c r="H170" s="101" t="s">
        <v>594</v>
      </c>
      <c r="J170" s="11" t="s">
        <v>175</v>
      </c>
      <c r="K170" s="1" t="s">
        <v>332</v>
      </c>
      <c r="L170" s="11" t="s">
        <v>11</v>
      </c>
      <c r="P170" s="102">
        <v>1</v>
      </c>
      <c r="T170" s="63" t="s">
        <v>351</v>
      </c>
      <c r="U170" s="63" t="s">
        <v>352</v>
      </c>
      <c r="V170" s="63" t="str">
        <f t="shared" si="10"/>
        <v>SAN ILDEFONSO-1007-NORTE</v>
      </c>
      <c r="W170" s="64" t="str">
        <f t="shared" si="11"/>
        <v>1007-101079-001-0</v>
      </c>
      <c r="X170" s="15" t="str">
        <f t="shared" si="12"/>
        <v>SAN ILDEFONSO NORTE</v>
      </c>
      <c r="Y170" s="1" t="str">
        <f t="shared" si="13"/>
        <v>1007-101079-001-0 SAN ILDEFONSO NORTE</v>
      </c>
      <c r="Z170" s="1" t="str">
        <f t="shared" si="14"/>
        <v>1007 SAN ILDEFONSO-NORTE</v>
      </c>
    </row>
    <row r="171" spans="1:29" x14ac:dyDescent="0.4">
      <c r="B171" s="101" t="s">
        <v>353</v>
      </c>
      <c r="C171" s="101" t="s">
        <v>353</v>
      </c>
      <c r="D171" s="101" t="s">
        <v>354</v>
      </c>
      <c r="E171" s="101" t="s">
        <v>348</v>
      </c>
      <c r="F171" s="102">
        <v>0</v>
      </c>
      <c r="G171" s="101">
        <f>[1]DISTRITOS!A171</f>
        <v>170</v>
      </c>
      <c r="H171" s="101" t="s">
        <v>595</v>
      </c>
      <c r="J171" s="11" t="s">
        <v>27</v>
      </c>
      <c r="K171" s="1" t="s">
        <v>332</v>
      </c>
      <c r="L171" s="11" t="s">
        <v>11</v>
      </c>
      <c r="P171" s="102">
        <v>1</v>
      </c>
      <c r="T171" s="63" t="s">
        <v>351</v>
      </c>
      <c r="U171" s="63" t="s">
        <v>352</v>
      </c>
      <c r="V171" s="63" t="str">
        <f t="shared" si="10"/>
        <v>SAN LORENZO-1008-NORTE</v>
      </c>
      <c r="W171" s="64" t="str">
        <f t="shared" si="11"/>
        <v>1008-101079-001-0</v>
      </c>
      <c r="X171" s="15" t="str">
        <f t="shared" si="12"/>
        <v>SAN LORENZO NORTE</v>
      </c>
      <c r="Y171" s="1" t="str">
        <f t="shared" si="13"/>
        <v>1008-101079-001-0 SAN LORENZO NORTE</v>
      </c>
      <c r="Z171" s="1" t="str">
        <f t="shared" si="14"/>
        <v>1008 SAN LORENZO-NORTE</v>
      </c>
    </row>
    <row r="172" spans="1:29" x14ac:dyDescent="0.4">
      <c r="B172" s="101" t="s">
        <v>353</v>
      </c>
      <c r="C172" s="101" t="s">
        <v>353</v>
      </c>
      <c r="D172" s="101" t="s">
        <v>354</v>
      </c>
      <c r="E172" s="101" t="s">
        <v>348</v>
      </c>
      <c r="F172" s="102">
        <v>0</v>
      </c>
      <c r="G172" s="101">
        <f>[1]DISTRITOS!A172</f>
        <v>171</v>
      </c>
      <c r="H172" s="101" t="s">
        <v>596</v>
      </c>
      <c r="J172" s="11" t="s">
        <v>597</v>
      </c>
      <c r="K172" s="1" t="s">
        <v>332</v>
      </c>
      <c r="L172" s="11" t="s">
        <v>11</v>
      </c>
      <c r="P172" s="102">
        <v>1</v>
      </c>
      <c r="T172" s="63" t="s">
        <v>351</v>
      </c>
      <c r="U172" s="63" t="s">
        <v>352</v>
      </c>
      <c r="V172" s="63" t="str">
        <f t="shared" si="10"/>
        <v>SAN SEBASTIAN-1009-NORTE</v>
      </c>
      <c r="W172" s="64" t="str">
        <f t="shared" si="11"/>
        <v>1009-101079-001-0</v>
      </c>
      <c r="X172" s="15" t="str">
        <f t="shared" si="12"/>
        <v>SAN SEBASTIAN NORTE</v>
      </c>
      <c r="Y172" s="1" t="str">
        <f t="shared" si="13"/>
        <v>1009-101079-001-0 SAN SEBASTIAN NORTE</v>
      </c>
      <c r="Z172" s="1" t="str">
        <f t="shared" si="14"/>
        <v>1009 SAN SEBASTIAN-NORTE</v>
      </c>
    </row>
    <row r="173" spans="1:29" x14ac:dyDescent="0.4">
      <c r="A173" s="11" t="s">
        <v>361</v>
      </c>
      <c r="B173" s="101" t="s">
        <v>345</v>
      </c>
      <c r="C173" s="101" t="s">
        <v>346</v>
      </c>
      <c r="D173" s="101" t="s">
        <v>347</v>
      </c>
      <c r="E173" s="101" t="s">
        <v>348</v>
      </c>
      <c r="F173" s="102">
        <v>2</v>
      </c>
      <c r="G173" s="101">
        <f>[1]DISTRITOS!A173</f>
        <v>172</v>
      </c>
      <c r="H173" s="101" t="s">
        <v>598</v>
      </c>
      <c r="I173" s="1">
        <f>[2]DEPARTAMENTOS!A11</f>
        <v>10</v>
      </c>
      <c r="J173" s="11" t="s">
        <v>11</v>
      </c>
      <c r="K173" s="1" t="s">
        <v>334</v>
      </c>
      <c r="L173" s="11" t="s">
        <v>11</v>
      </c>
      <c r="R173" s="102">
        <v>1</v>
      </c>
      <c r="T173" s="63" t="s">
        <v>351</v>
      </c>
      <c r="U173" s="63" t="s">
        <v>352</v>
      </c>
      <c r="V173" s="63" t="str">
        <f t="shared" si="10"/>
        <v>SAN VICENTE-1010-SUR</v>
      </c>
      <c r="W173" s="64" t="str">
        <f t="shared" si="11"/>
        <v>1010-010611-001-2</v>
      </c>
      <c r="X173" s="15" t="str">
        <f t="shared" si="12"/>
        <v>SAN VICENTE SUR</v>
      </c>
      <c r="Y173" s="1" t="str">
        <f t="shared" si="13"/>
        <v>1010-010611-001-2 SAN VICENTE SUR</v>
      </c>
      <c r="Z173" s="1" t="str">
        <f t="shared" si="14"/>
        <v>1010 SAN VICENTE-SUR</v>
      </c>
      <c r="AA173" s="103">
        <v>627.54</v>
      </c>
      <c r="AB173" s="104">
        <v>99893</v>
      </c>
      <c r="AC173" s="103">
        <v>159.18</v>
      </c>
    </row>
    <row r="174" spans="1:29" x14ac:dyDescent="0.4">
      <c r="B174" s="101" t="s">
        <v>353</v>
      </c>
      <c r="C174" s="101" t="s">
        <v>353</v>
      </c>
      <c r="D174" s="101" t="s">
        <v>354</v>
      </c>
      <c r="E174" s="101" t="s">
        <v>348</v>
      </c>
      <c r="F174" s="102">
        <v>1</v>
      </c>
      <c r="G174" s="101">
        <f>[1]DISTRITOS!A174</f>
        <v>173</v>
      </c>
      <c r="H174" s="101" t="s">
        <v>599</v>
      </c>
      <c r="J174" s="11" t="s">
        <v>181</v>
      </c>
      <c r="K174" s="1" t="s">
        <v>334</v>
      </c>
      <c r="L174" s="11" t="s">
        <v>11</v>
      </c>
      <c r="R174" s="102">
        <v>1</v>
      </c>
      <c r="T174" s="63" t="s">
        <v>351</v>
      </c>
      <c r="U174" s="63" t="s">
        <v>352</v>
      </c>
      <c r="V174" s="63" t="str">
        <f t="shared" si="10"/>
        <v>TECOLUCA-1011-SUR</v>
      </c>
      <c r="W174" s="64" t="str">
        <f t="shared" si="11"/>
        <v>1011-101079-001-1</v>
      </c>
      <c r="X174" s="15" t="str">
        <f t="shared" si="12"/>
        <v>TECOLUCA SUR</v>
      </c>
      <c r="Y174" s="1" t="str">
        <f t="shared" si="13"/>
        <v>1011-101079-001-1 TECOLUCA SUR</v>
      </c>
      <c r="Z174" s="1" t="str">
        <f t="shared" si="14"/>
        <v>1011 TECOLUCA-SUR</v>
      </c>
    </row>
    <row r="175" spans="1:29" x14ac:dyDescent="0.4">
      <c r="B175" s="101" t="s">
        <v>353</v>
      </c>
      <c r="C175" s="101" t="s">
        <v>353</v>
      </c>
      <c r="D175" s="101" t="s">
        <v>354</v>
      </c>
      <c r="E175" s="101" t="s">
        <v>348</v>
      </c>
      <c r="F175" s="102">
        <v>1</v>
      </c>
      <c r="G175" s="101">
        <f>[1]DISTRITOS!A175</f>
        <v>174</v>
      </c>
      <c r="H175" s="101" t="s">
        <v>600</v>
      </c>
      <c r="J175" s="11" t="s">
        <v>601</v>
      </c>
      <c r="K175" s="1" t="s">
        <v>334</v>
      </c>
      <c r="L175" s="11" t="s">
        <v>11</v>
      </c>
      <c r="R175" s="102">
        <v>1</v>
      </c>
      <c r="T175" s="63" t="s">
        <v>351</v>
      </c>
      <c r="U175" s="63" t="s">
        <v>352</v>
      </c>
      <c r="V175" s="63" t="str">
        <f t="shared" si="10"/>
        <v>TEPETITAN-1012-SUR</v>
      </c>
      <c r="W175" s="64" t="str">
        <f t="shared" si="11"/>
        <v>1012-101079-001-1</v>
      </c>
      <c r="X175" s="15" t="str">
        <f t="shared" si="12"/>
        <v>TEPETITAN SUR</v>
      </c>
      <c r="Y175" s="1" t="str">
        <f t="shared" si="13"/>
        <v>1012-101079-001-1 TEPETITAN SUR</v>
      </c>
      <c r="Z175" s="1" t="str">
        <f t="shared" si="14"/>
        <v>1012 TEPETITAN-SUR</v>
      </c>
    </row>
    <row r="176" spans="1:29" x14ac:dyDescent="0.4">
      <c r="B176" s="101" t="s">
        <v>353</v>
      </c>
      <c r="C176" s="101" t="s">
        <v>353</v>
      </c>
      <c r="D176" s="101" t="s">
        <v>354</v>
      </c>
      <c r="E176" s="101" t="s">
        <v>348</v>
      </c>
      <c r="F176" s="102">
        <v>1</v>
      </c>
      <c r="G176" s="101">
        <f>[1]DISTRITOS!A176</f>
        <v>175</v>
      </c>
      <c r="H176" s="101" t="s">
        <v>602</v>
      </c>
      <c r="J176" s="11" t="s">
        <v>183</v>
      </c>
      <c r="K176" s="1" t="s">
        <v>334</v>
      </c>
      <c r="L176" s="11" t="s">
        <v>11</v>
      </c>
      <c r="R176" s="102">
        <v>1</v>
      </c>
      <c r="T176" s="63" t="s">
        <v>351</v>
      </c>
      <c r="U176" s="63" t="s">
        <v>352</v>
      </c>
      <c r="V176" s="63" t="str">
        <f t="shared" si="10"/>
        <v>VERAPAZ-1013-SUR</v>
      </c>
      <c r="W176" s="64" t="str">
        <f t="shared" si="11"/>
        <v>1013-101079-001-1</v>
      </c>
      <c r="X176" s="15" t="str">
        <f t="shared" si="12"/>
        <v>VERAPAZ SUR</v>
      </c>
      <c r="Y176" s="1" t="str">
        <f t="shared" si="13"/>
        <v>1013-101079-001-1 VERAPAZ SUR</v>
      </c>
      <c r="Z176" s="1" t="str">
        <f t="shared" si="14"/>
        <v>1013 VERAPAZ-SUR</v>
      </c>
    </row>
    <row r="177" spans="1:29" x14ac:dyDescent="0.4">
      <c r="A177" s="10" t="s">
        <v>356</v>
      </c>
      <c r="B177" s="105" t="s">
        <v>347</v>
      </c>
      <c r="C177" s="105" t="s">
        <v>353</v>
      </c>
      <c r="D177" s="105" t="s">
        <v>354</v>
      </c>
      <c r="E177" s="105" t="s">
        <v>348</v>
      </c>
      <c r="F177" s="106">
        <v>0</v>
      </c>
      <c r="G177" s="105">
        <f>[1]DISTRITOS!A177</f>
        <v>176</v>
      </c>
      <c r="H177" s="105" t="s">
        <v>603</v>
      </c>
      <c r="I177" s="10"/>
      <c r="J177" s="10" t="s">
        <v>604</v>
      </c>
      <c r="K177" s="1" t="s">
        <v>332</v>
      </c>
      <c r="L177" s="10" t="s">
        <v>12</v>
      </c>
      <c r="M177" s="106"/>
      <c r="N177" s="106"/>
      <c r="O177" s="106"/>
      <c r="P177" s="106">
        <v>1</v>
      </c>
      <c r="Q177" s="106"/>
      <c r="R177" s="106"/>
      <c r="S177" s="10"/>
      <c r="T177" s="63" t="s">
        <v>351</v>
      </c>
      <c r="U177" s="63" t="s">
        <v>352</v>
      </c>
      <c r="V177" s="63" t="str">
        <f t="shared" si="10"/>
        <v>ALEGRIA-1101-NORTE</v>
      </c>
      <c r="W177" s="64" t="str">
        <f t="shared" si="11"/>
        <v>1101-111079-001-0</v>
      </c>
      <c r="X177" s="15" t="str">
        <f t="shared" si="12"/>
        <v>ALEGRIA NORTE</v>
      </c>
      <c r="Y177" s="1" t="str">
        <f t="shared" si="13"/>
        <v>1101-111079-001-0 ALEGRIA NORTE</v>
      </c>
      <c r="Z177" s="1" t="str">
        <f t="shared" si="14"/>
        <v>1101 ALEGRIA-NORTE</v>
      </c>
      <c r="AA177" s="107">
        <v>551.69000000000005</v>
      </c>
      <c r="AB177" s="108">
        <v>109367</v>
      </c>
      <c r="AC177" s="107">
        <v>198.24</v>
      </c>
    </row>
    <row r="178" spans="1:29" x14ac:dyDescent="0.4">
      <c r="B178" s="105" t="s">
        <v>395</v>
      </c>
      <c r="C178" s="105" t="s">
        <v>415</v>
      </c>
      <c r="D178" s="105" t="s">
        <v>393</v>
      </c>
      <c r="E178" s="105" t="s">
        <v>348</v>
      </c>
      <c r="F178" s="106">
        <v>1</v>
      </c>
      <c r="G178" s="105">
        <f>[1]DISTRITOS!A178</f>
        <v>177</v>
      </c>
      <c r="H178" s="105" t="s">
        <v>605</v>
      </c>
      <c r="J178" s="10" t="s">
        <v>606</v>
      </c>
      <c r="K178" s="1" t="s">
        <v>332</v>
      </c>
      <c r="L178" s="10" t="s">
        <v>12</v>
      </c>
      <c r="P178" s="106">
        <v>1</v>
      </c>
      <c r="T178" s="63" t="s">
        <v>351</v>
      </c>
      <c r="U178" s="63" t="s">
        <v>352</v>
      </c>
      <c r="V178" s="63" t="str">
        <f t="shared" si="10"/>
        <v>BERLIN-1102-NORTE</v>
      </c>
      <c r="W178" s="64" t="str">
        <f t="shared" si="11"/>
        <v>1102-030478-001-1</v>
      </c>
      <c r="X178" s="15" t="str">
        <f t="shared" si="12"/>
        <v>BERLIN NORTE</v>
      </c>
      <c r="Y178" s="1" t="str">
        <f t="shared" si="13"/>
        <v>1102-030478-001-1 BERLIN NORTE</v>
      </c>
      <c r="Z178" s="1" t="str">
        <f t="shared" si="14"/>
        <v>1102 BERLIN-NORTE</v>
      </c>
    </row>
    <row r="179" spans="1:29" x14ac:dyDescent="0.4">
      <c r="A179" s="10" t="s">
        <v>373</v>
      </c>
      <c r="B179" s="105" t="s">
        <v>347</v>
      </c>
      <c r="C179" s="105" t="s">
        <v>353</v>
      </c>
      <c r="D179" s="105" t="s">
        <v>354</v>
      </c>
      <c r="E179" s="105" t="s">
        <v>348</v>
      </c>
      <c r="F179" s="106">
        <v>0</v>
      </c>
      <c r="G179" s="105">
        <f>[1]DISTRITOS!A179</f>
        <v>178</v>
      </c>
      <c r="H179" s="105" t="s">
        <v>607</v>
      </c>
      <c r="J179" s="10" t="s">
        <v>193</v>
      </c>
      <c r="K179" s="1" t="s">
        <v>331</v>
      </c>
      <c r="L179" s="10" t="s">
        <v>12</v>
      </c>
      <c r="O179" s="106">
        <v>1</v>
      </c>
      <c r="T179" s="63" t="s">
        <v>351</v>
      </c>
      <c r="U179" s="63" t="s">
        <v>352</v>
      </c>
      <c r="V179" s="63" t="str">
        <f t="shared" si="10"/>
        <v>CALIFORNIA-1103-ESTE</v>
      </c>
      <c r="W179" s="64" t="str">
        <f t="shared" si="11"/>
        <v>1103-111079-001-0</v>
      </c>
      <c r="X179" s="15" t="str">
        <f t="shared" si="12"/>
        <v>CALIFORNIA ESTE</v>
      </c>
      <c r="Y179" s="1" t="str">
        <f t="shared" si="13"/>
        <v>1103-111079-001-0 CALIFORNIA ESTE</v>
      </c>
      <c r="Z179" s="1" t="str">
        <f t="shared" si="14"/>
        <v>1103 CALIFORNIA-ESTE</v>
      </c>
      <c r="AA179" s="107">
        <v>831.32</v>
      </c>
      <c r="AB179" s="108">
        <v>160590</v>
      </c>
      <c r="AC179" s="107">
        <v>193.17</v>
      </c>
    </row>
    <row r="180" spans="1:29" x14ac:dyDescent="0.4">
      <c r="B180" s="105" t="s">
        <v>347</v>
      </c>
      <c r="C180" s="105" t="s">
        <v>353</v>
      </c>
      <c r="D180" s="105" t="s">
        <v>354</v>
      </c>
      <c r="E180" s="105" t="s">
        <v>348</v>
      </c>
      <c r="F180" s="106">
        <v>0</v>
      </c>
      <c r="G180" s="105">
        <f>[1]DISTRITOS!A180</f>
        <v>179</v>
      </c>
      <c r="H180" s="105" t="s">
        <v>608</v>
      </c>
      <c r="J180" s="10" t="s">
        <v>609</v>
      </c>
      <c r="K180" s="1" t="s">
        <v>331</v>
      </c>
      <c r="L180" s="10" t="s">
        <v>12</v>
      </c>
      <c r="O180" s="106">
        <v>1</v>
      </c>
      <c r="T180" s="63" t="s">
        <v>351</v>
      </c>
      <c r="U180" s="63" t="s">
        <v>352</v>
      </c>
      <c r="V180" s="63" t="str">
        <f t="shared" si="10"/>
        <v>CONCEPCION BATRES-1104-ESTE</v>
      </c>
      <c r="W180" s="64" t="str">
        <f t="shared" si="11"/>
        <v>1104-111079-001-0</v>
      </c>
      <c r="X180" s="15" t="str">
        <f t="shared" si="12"/>
        <v>CONCEPCION BATRES ESTE</v>
      </c>
      <c r="Y180" s="1" t="str">
        <f t="shared" si="13"/>
        <v>1104-111079-001-0 CONCEPCION BATRES ESTE</v>
      </c>
      <c r="Z180" s="1" t="str">
        <f t="shared" si="14"/>
        <v>1104 CONCEPCION BATRES-ESTE</v>
      </c>
    </row>
    <row r="181" spans="1:29" x14ac:dyDescent="0.4">
      <c r="B181" s="105" t="s">
        <v>347</v>
      </c>
      <c r="C181" s="105" t="s">
        <v>353</v>
      </c>
      <c r="D181" s="105" t="s">
        <v>354</v>
      </c>
      <c r="E181" s="105" t="s">
        <v>348</v>
      </c>
      <c r="F181" s="106">
        <v>0</v>
      </c>
      <c r="G181" s="105">
        <f>[1]DISTRITOS!A181</f>
        <v>180</v>
      </c>
      <c r="H181" s="105" t="s">
        <v>610</v>
      </c>
      <c r="J181" s="10" t="s">
        <v>186</v>
      </c>
      <c r="K181" s="1" t="s">
        <v>332</v>
      </c>
      <c r="L181" s="10" t="s">
        <v>12</v>
      </c>
      <c r="P181" s="106">
        <v>1</v>
      </c>
      <c r="T181" s="63" t="s">
        <v>351</v>
      </c>
      <c r="U181" s="63" t="s">
        <v>352</v>
      </c>
      <c r="V181" s="63" t="str">
        <f t="shared" si="10"/>
        <v>EL TRIUNFO-1105-NORTE</v>
      </c>
      <c r="W181" s="64" t="str">
        <f t="shared" si="11"/>
        <v>1105-111079-001-0</v>
      </c>
      <c r="X181" s="15" t="str">
        <f t="shared" si="12"/>
        <v>EL TRIUNFO NORTE</v>
      </c>
      <c r="Y181" s="1" t="str">
        <f t="shared" si="13"/>
        <v>1105-111079-001-0 EL TRIUNFO NORTE</v>
      </c>
      <c r="Z181" s="1" t="str">
        <f t="shared" si="14"/>
        <v>1105 EL TRIUNFO-NORTE</v>
      </c>
    </row>
    <row r="182" spans="1:29" x14ac:dyDescent="0.4">
      <c r="B182" s="105" t="s">
        <v>347</v>
      </c>
      <c r="C182" s="105" t="s">
        <v>353</v>
      </c>
      <c r="D182" s="105" t="s">
        <v>354</v>
      </c>
      <c r="E182" s="105" t="s">
        <v>348</v>
      </c>
      <c r="F182" s="106">
        <v>0</v>
      </c>
      <c r="G182" s="105">
        <f>[1]DISTRITOS!A182</f>
        <v>181</v>
      </c>
      <c r="H182" s="105" t="s">
        <v>611</v>
      </c>
      <c r="J182" s="10" t="s">
        <v>612</v>
      </c>
      <c r="K182" s="1" t="s">
        <v>331</v>
      </c>
      <c r="L182" s="10" t="s">
        <v>12</v>
      </c>
      <c r="O182" s="106">
        <v>1</v>
      </c>
      <c r="T182" s="63" t="s">
        <v>351</v>
      </c>
      <c r="U182" s="63" t="s">
        <v>352</v>
      </c>
      <c r="V182" s="63" t="str">
        <f t="shared" si="10"/>
        <v>EREGUAYQUIN-1106-ESTE</v>
      </c>
      <c r="W182" s="64" t="str">
        <f t="shared" si="11"/>
        <v>1106-111079-001-0</v>
      </c>
      <c r="X182" s="15" t="str">
        <f t="shared" si="12"/>
        <v>EREGUAYQUIN ESTE</v>
      </c>
      <c r="Y182" s="1" t="str">
        <f t="shared" si="13"/>
        <v>1106-111079-001-0 EREGUAYQUIN ESTE</v>
      </c>
      <c r="Z182" s="1" t="str">
        <f t="shared" si="14"/>
        <v>1106 EREGUAYQUIN-ESTE</v>
      </c>
    </row>
    <row r="183" spans="1:29" x14ac:dyDescent="0.4">
      <c r="B183" s="105" t="s">
        <v>347</v>
      </c>
      <c r="C183" s="105" t="s">
        <v>353</v>
      </c>
      <c r="D183" s="105" t="s">
        <v>354</v>
      </c>
      <c r="E183" s="105" t="s">
        <v>348</v>
      </c>
      <c r="F183" s="106">
        <v>0</v>
      </c>
      <c r="G183" s="105">
        <f>[1]DISTRITOS!A183</f>
        <v>182</v>
      </c>
      <c r="H183" s="105" t="s">
        <v>613</v>
      </c>
      <c r="J183" s="10" t="s">
        <v>187</v>
      </c>
      <c r="K183" s="1" t="s">
        <v>332</v>
      </c>
      <c r="L183" s="10" t="s">
        <v>12</v>
      </c>
      <c r="P183" s="106">
        <v>1</v>
      </c>
      <c r="T183" s="63" t="s">
        <v>351</v>
      </c>
      <c r="U183" s="63" t="s">
        <v>352</v>
      </c>
      <c r="V183" s="63" t="str">
        <f t="shared" si="10"/>
        <v>ESTANZUELAS-1107-NORTE</v>
      </c>
      <c r="W183" s="64" t="str">
        <f t="shared" si="11"/>
        <v>1107-111079-001-0</v>
      </c>
      <c r="X183" s="15" t="str">
        <f t="shared" si="12"/>
        <v>ESTANZUELAS NORTE</v>
      </c>
      <c r="Y183" s="1" t="str">
        <f t="shared" si="13"/>
        <v>1107-111079-001-0 ESTANZUELAS NORTE</v>
      </c>
      <c r="Z183" s="1" t="str">
        <f t="shared" si="14"/>
        <v>1107 ESTANZUELAS-NORTE</v>
      </c>
    </row>
    <row r="184" spans="1:29" ht="32" x14ac:dyDescent="0.4">
      <c r="A184" s="10" t="s">
        <v>371</v>
      </c>
      <c r="B184" s="105" t="s">
        <v>347</v>
      </c>
      <c r="C184" s="105" t="s">
        <v>353</v>
      </c>
      <c r="D184" s="105" t="s">
        <v>354</v>
      </c>
      <c r="E184" s="105" t="s">
        <v>348</v>
      </c>
      <c r="F184" s="106">
        <v>0</v>
      </c>
      <c r="G184" s="105">
        <f>[1]DISTRITOS!A184</f>
        <v>183</v>
      </c>
      <c r="H184" s="105" t="s">
        <v>614</v>
      </c>
      <c r="J184" s="10" t="s">
        <v>203</v>
      </c>
      <c r="K184" s="61" t="s">
        <v>333</v>
      </c>
      <c r="L184" s="10" t="s">
        <v>12</v>
      </c>
      <c r="Q184" s="106">
        <v>1</v>
      </c>
      <c r="T184" s="63" t="s">
        <v>351</v>
      </c>
      <c r="U184" s="63" t="s">
        <v>352</v>
      </c>
      <c r="V184" s="63" t="str">
        <f t="shared" si="10"/>
        <v>JIQUILISCO-1108-OESTE</v>
      </c>
      <c r="W184" s="64" t="str">
        <f t="shared" si="11"/>
        <v>1108-111079-001-0</v>
      </c>
      <c r="X184" s="15" t="str">
        <f t="shared" si="12"/>
        <v>JIQUILISCO OESTE</v>
      </c>
      <c r="Y184" s="1" t="str">
        <f t="shared" si="13"/>
        <v>1108-111079-001-0 JIQUILISCO OESTE</v>
      </c>
      <c r="Z184" s="1" t="str">
        <f t="shared" si="14"/>
        <v>1108 JIQUILISCO-OESTE</v>
      </c>
      <c r="AA184" s="107">
        <v>747.43</v>
      </c>
      <c r="AB184" s="108">
        <v>79311</v>
      </c>
      <c r="AC184" s="107">
        <v>106.11</v>
      </c>
    </row>
    <row r="185" spans="1:29" x14ac:dyDescent="0.4">
      <c r="B185" s="105" t="s">
        <v>347</v>
      </c>
      <c r="C185" s="105" t="s">
        <v>353</v>
      </c>
      <c r="D185" s="105" t="s">
        <v>354</v>
      </c>
      <c r="E185" s="105" t="s">
        <v>348</v>
      </c>
      <c r="F185" s="106">
        <v>0</v>
      </c>
      <c r="G185" s="105">
        <f>[1]DISTRITOS!A185</f>
        <v>184</v>
      </c>
      <c r="H185" s="105" t="s">
        <v>615</v>
      </c>
      <c r="J185" s="10" t="s">
        <v>188</v>
      </c>
      <c r="K185" s="1" t="s">
        <v>332</v>
      </c>
      <c r="L185" s="10" t="s">
        <v>12</v>
      </c>
      <c r="P185" s="106">
        <v>1</v>
      </c>
      <c r="T185" s="63" t="s">
        <v>351</v>
      </c>
      <c r="U185" s="63" t="s">
        <v>352</v>
      </c>
      <c r="V185" s="63" t="str">
        <f t="shared" si="10"/>
        <v>JUCUAPA-1109-NORTE</v>
      </c>
      <c r="W185" s="64" t="str">
        <f t="shared" si="11"/>
        <v>1109-111079-001-0</v>
      </c>
      <c r="X185" s="15" t="str">
        <f t="shared" si="12"/>
        <v>JUCUAPA NORTE</v>
      </c>
      <c r="Y185" s="1" t="str">
        <f t="shared" si="13"/>
        <v>1109-111079-001-0 JUCUAPA NORTE</v>
      </c>
      <c r="Z185" s="1" t="str">
        <f t="shared" si="14"/>
        <v>1109 JUCUAPA-NORTE</v>
      </c>
    </row>
    <row r="186" spans="1:29" x14ac:dyDescent="0.4">
      <c r="B186" s="105" t="s">
        <v>347</v>
      </c>
      <c r="C186" s="105" t="s">
        <v>353</v>
      </c>
      <c r="D186" s="105" t="s">
        <v>354</v>
      </c>
      <c r="E186" s="105" t="s">
        <v>348</v>
      </c>
      <c r="F186" s="106">
        <v>1</v>
      </c>
      <c r="G186" s="105">
        <f>[1]DISTRITOS!A186</f>
        <v>185</v>
      </c>
      <c r="H186" s="105" t="s">
        <v>616</v>
      </c>
      <c r="J186" s="10" t="s">
        <v>617</v>
      </c>
      <c r="K186" s="1" t="s">
        <v>331</v>
      </c>
      <c r="L186" s="10" t="s">
        <v>12</v>
      </c>
      <c r="O186" s="106">
        <v>1</v>
      </c>
      <c r="T186" s="63" t="s">
        <v>351</v>
      </c>
      <c r="U186" s="63" t="s">
        <v>352</v>
      </c>
      <c r="V186" s="63" t="str">
        <f t="shared" si="10"/>
        <v>JUCUARAN-1110-ESTE</v>
      </c>
      <c r="W186" s="64" t="str">
        <f t="shared" si="11"/>
        <v>1110-111079-001-1</v>
      </c>
      <c r="X186" s="15" t="str">
        <f t="shared" si="12"/>
        <v>JUCUARAN ESTE</v>
      </c>
      <c r="Y186" s="1" t="str">
        <f t="shared" si="13"/>
        <v>1110-111079-001-1 JUCUARAN ESTE</v>
      </c>
      <c r="Z186" s="1" t="str">
        <f t="shared" si="14"/>
        <v>1110 JUCUARAN-ESTE</v>
      </c>
    </row>
    <row r="187" spans="1:29" x14ac:dyDescent="0.4">
      <c r="B187" s="105" t="s">
        <v>347</v>
      </c>
      <c r="C187" s="105" t="s">
        <v>353</v>
      </c>
      <c r="D187" s="105" t="s">
        <v>354</v>
      </c>
      <c r="E187" s="105" t="s">
        <v>348</v>
      </c>
      <c r="F187" s="106">
        <v>1</v>
      </c>
      <c r="G187" s="105">
        <f>[1]DISTRITOS!A187</f>
        <v>186</v>
      </c>
      <c r="H187" s="105" t="s">
        <v>618</v>
      </c>
      <c r="J187" s="10" t="s">
        <v>189</v>
      </c>
      <c r="K187" s="1" t="s">
        <v>332</v>
      </c>
      <c r="L187" s="10" t="s">
        <v>12</v>
      </c>
      <c r="P187" s="106">
        <v>1</v>
      </c>
      <c r="T187" s="63" t="s">
        <v>351</v>
      </c>
      <c r="U187" s="63" t="s">
        <v>352</v>
      </c>
      <c r="V187" s="63" t="str">
        <f t="shared" si="10"/>
        <v>MERCEDES UMAÑA-1111-NORTE</v>
      </c>
      <c r="W187" s="64" t="str">
        <f t="shared" si="11"/>
        <v>1111-111079-001-1</v>
      </c>
      <c r="X187" s="15" t="str">
        <f t="shared" si="12"/>
        <v>MERCEDES UMAÑA NORTE</v>
      </c>
      <c r="Y187" s="1" t="str">
        <f t="shared" si="13"/>
        <v>1111-111079-001-1 MERCEDES UMAÑA NORTE</v>
      </c>
      <c r="Z187" s="1" t="str">
        <f t="shared" si="14"/>
        <v>1111 MERCEDES UMAÑA-NORTE</v>
      </c>
    </row>
    <row r="188" spans="1:29" x14ac:dyDescent="0.4">
      <c r="B188" s="105" t="s">
        <v>347</v>
      </c>
      <c r="C188" s="105" t="s">
        <v>353</v>
      </c>
      <c r="D188" s="105" t="s">
        <v>354</v>
      </c>
      <c r="E188" s="105" t="s">
        <v>348</v>
      </c>
      <c r="F188" s="106">
        <v>1</v>
      </c>
      <c r="G188" s="105">
        <f>[1]DISTRITOS!A188</f>
        <v>187</v>
      </c>
      <c r="H188" s="105" t="s">
        <v>619</v>
      </c>
      <c r="J188" s="10" t="s">
        <v>190</v>
      </c>
      <c r="K188" s="1" t="s">
        <v>332</v>
      </c>
      <c r="L188" s="10" t="s">
        <v>12</v>
      </c>
      <c r="P188" s="106">
        <v>1</v>
      </c>
      <c r="T188" s="63" t="s">
        <v>351</v>
      </c>
      <c r="U188" s="63" t="s">
        <v>352</v>
      </c>
      <c r="V188" s="63" t="str">
        <f t="shared" si="10"/>
        <v>NUEVA GRANADA-1112-NORTE</v>
      </c>
      <c r="W188" s="64" t="str">
        <f t="shared" si="11"/>
        <v>1112-111079-001-1</v>
      </c>
      <c r="X188" s="15" t="str">
        <f t="shared" si="12"/>
        <v>NUEVA GRANADA NORTE</v>
      </c>
      <c r="Y188" s="1" t="str">
        <f t="shared" si="13"/>
        <v>1112-111079-001-1 NUEVA GRANADA NORTE</v>
      </c>
      <c r="Z188" s="1" t="str">
        <f t="shared" si="14"/>
        <v>1112 NUEVA GRANADA-NORTE</v>
      </c>
    </row>
    <row r="189" spans="1:29" x14ac:dyDescent="0.4">
      <c r="B189" s="105" t="s">
        <v>347</v>
      </c>
      <c r="C189" s="105" t="s">
        <v>353</v>
      </c>
      <c r="D189" s="105" t="s">
        <v>354</v>
      </c>
      <c r="E189" s="105" t="s">
        <v>348</v>
      </c>
      <c r="F189" s="106">
        <v>1</v>
      </c>
      <c r="G189" s="105">
        <f>[1]DISTRITOS!A189</f>
        <v>188</v>
      </c>
      <c r="H189" s="105" t="s">
        <v>620</v>
      </c>
      <c r="J189" s="10" t="s">
        <v>621</v>
      </c>
      <c r="K189" s="1" t="s">
        <v>331</v>
      </c>
      <c r="L189" s="10" t="s">
        <v>12</v>
      </c>
      <c r="O189" s="106">
        <v>1</v>
      </c>
      <c r="T189" s="63" t="s">
        <v>351</v>
      </c>
      <c r="U189" s="63" t="s">
        <v>352</v>
      </c>
      <c r="V189" s="63" t="str">
        <f t="shared" si="10"/>
        <v>OZATLAN-1113-ESTE</v>
      </c>
      <c r="W189" s="64" t="str">
        <f t="shared" si="11"/>
        <v>1113-111079-001-1</v>
      </c>
      <c r="X189" s="15" t="str">
        <f t="shared" si="12"/>
        <v>OZATLAN ESTE</v>
      </c>
      <c r="Y189" s="1" t="str">
        <f t="shared" si="13"/>
        <v>1113-111079-001-1 OZATLAN ESTE</v>
      </c>
      <c r="Z189" s="1" t="str">
        <f t="shared" si="14"/>
        <v>1113 OZATLAN-ESTE</v>
      </c>
    </row>
    <row r="190" spans="1:29" ht="32" x14ac:dyDescent="0.4">
      <c r="B190" s="105" t="s">
        <v>347</v>
      </c>
      <c r="C190" s="105" t="s">
        <v>353</v>
      </c>
      <c r="D190" s="105" t="s">
        <v>354</v>
      </c>
      <c r="E190" s="105" t="s">
        <v>348</v>
      </c>
      <c r="F190" s="106">
        <v>1</v>
      </c>
      <c r="G190" s="105">
        <f>[1]DISTRITOS!A190</f>
        <v>189</v>
      </c>
      <c r="H190" s="105" t="s">
        <v>622</v>
      </c>
      <c r="J190" s="10" t="s">
        <v>204</v>
      </c>
      <c r="K190" s="61" t="s">
        <v>333</v>
      </c>
      <c r="L190" s="10" t="s">
        <v>12</v>
      </c>
      <c r="Q190" s="106">
        <v>1</v>
      </c>
      <c r="T190" s="63" t="s">
        <v>351</v>
      </c>
      <c r="U190" s="63" t="s">
        <v>352</v>
      </c>
      <c r="V190" s="63" t="str">
        <f t="shared" si="10"/>
        <v>PUERTO EL TRIUNFO-1114-OESTE</v>
      </c>
      <c r="W190" s="64" t="str">
        <f t="shared" si="11"/>
        <v>1114-111079-001-1</v>
      </c>
      <c r="X190" s="15" t="str">
        <f t="shared" si="12"/>
        <v>PUERTO EL TRIUNFO OESTE</v>
      </c>
      <c r="Y190" s="1" t="str">
        <f t="shared" si="13"/>
        <v>1114-111079-001-1 PUERTO EL TRIUNFO OESTE</v>
      </c>
      <c r="Z190" s="1" t="str">
        <f t="shared" si="14"/>
        <v>1114 PUERTO EL TRIUNFO-OESTE</v>
      </c>
    </row>
    <row r="191" spans="1:29" ht="32" x14ac:dyDescent="0.4">
      <c r="B191" s="105" t="s">
        <v>347</v>
      </c>
      <c r="C191" s="105" t="s">
        <v>353</v>
      </c>
      <c r="D191" s="105" t="s">
        <v>354</v>
      </c>
      <c r="E191" s="105" t="s">
        <v>348</v>
      </c>
      <c r="F191" s="106">
        <v>1</v>
      </c>
      <c r="G191" s="105">
        <f>[1]DISTRITOS!A191</f>
        <v>190</v>
      </c>
      <c r="H191" s="105" t="s">
        <v>623</v>
      </c>
      <c r="J191" s="10" t="s">
        <v>624</v>
      </c>
      <c r="K191" s="61" t="s">
        <v>333</v>
      </c>
      <c r="L191" s="10" t="s">
        <v>12</v>
      </c>
      <c r="Q191" s="106">
        <v>1</v>
      </c>
      <c r="T191" s="63" t="s">
        <v>351</v>
      </c>
      <c r="U191" s="63" t="s">
        <v>352</v>
      </c>
      <c r="V191" s="63" t="str">
        <f t="shared" si="10"/>
        <v>SAN AGUSTIN-1115-OESTE</v>
      </c>
      <c r="W191" s="64" t="str">
        <f t="shared" si="11"/>
        <v>1115-111079-001-1</v>
      </c>
      <c r="X191" s="15" t="str">
        <f t="shared" si="12"/>
        <v>SAN AGUSTIN OESTE</v>
      </c>
      <c r="Y191" s="1" t="str">
        <f t="shared" si="13"/>
        <v>1115-111079-001-1 SAN AGUSTIN OESTE</v>
      </c>
      <c r="Z191" s="1" t="str">
        <f t="shared" si="14"/>
        <v>1115 SAN AGUSTIN-OESTE</v>
      </c>
    </row>
    <row r="192" spans="1:29" x14ac:dyDescent="0.4">
      <c r="B192" s="105" t="s">
        <v>347</v>
      </c>
      <c r="C192" s="105" t="s">
        <v>353</v>
      </c>
      <c r="D192" s="105" t="s">
        <v>354</v>
      </c>
      <c r="E192" s="105" t="s">
        <v>348</v>
      </c>
      <c r="F192" s="106">
        <v>1</v>
      </c>
      <c r="G192" s="105">
        <f>[1]DISTRITOS!A192</f>
        <v>191</v>
      </c>
      <c r="H192" s="105" t="s">
        <v>625</v>
      </c>
      <c r="J192" s="10" t="s">
        <v>191</v>
      </c>
      <c r="K192" s="1" t="s">
        <v>332</v>
      </c>
      <c r="L192" s="10" t="s">
        <v>12</v>
      </c>
      <c r="P192" s="106">
        <v>1</v>
      </c>
      <c r="T192" s="63" t="s">
        <v>351</v>
      </c>
      <c r="U192" s="63" t="s">
        <v>352</v>
      </c>
      <c r="V192" s="63" t="str">
        <f t="shared" si="10"/>
        <v>SAN BUENAVENTURA-1116-NORTE</v>
      </c>
      <c r="W192" s="64" t="str">
        <f t="shared" si="11"/>
        <v>1116-111079-001-1</v>
      </c>
      <c r="X192" s="15" t="str">
        <f t="shared" si="12"/>
        <v>SAN BUENAVENTURA NORTE</v>
      </c>
      <c r="Y192" s="1" t="str">
        <f t="shared" si="13"/>
        <v>1116-111079-001-1 SAN BUENAVENTURA NORTE</v>
      </c>
      <c r="Z192" s="1" t="str">
        <f t="shared" si="14"/>
        <v>1116 SAN BUENAVENTURA-NORTE</v>
      </c>
    </row>
    <row r="193" spans="1:29" x14ac:dyDescent="0.4">
      <c r="B193" s="105" t="s">
        <v>347</v>
      </c>
      <c r="C193" s="105" t="s">
        <v>353</v>
      </c>
      <c r="D193" s="105" t="s">
        <v>354</v>
      </c>
      <c r="E193" s="105" t="s">
        <v>348</v>
      </c>
      <c r="F193" s="106">
        <v>1</v>
      </c>
      <c r="G193" s="105">
        <f>[1]DISTRITOS!A193</f>
        <v>192</v>
      </c>
      <c r="H193" s="105" t="s">
        <v>626</v>
      </c>
      <c r="J193" s="10" t="s">
        <v>199</v>
      </c>
      <c r="K193" s="1" t="s">
        <v>331</v>
      </c>
      <c r="L193" s="10" t="s">
        <v>12</v>
      </c>
      <c r="O193" s="106">
        <v>1</v>
      </c>
      <c r="T193" s="63" t="s">
        <v>351</v>
      </c>
      <c r="U193" s="63" t="s">
        <v>352</v>
      </c>
      <c r="V193" s="63" t="str">
        <f t="shared" si="10"/>
        <v>SAN DIONISIO-1117-ESTE</v>
      </c>
      <c r="W193" s="64" t="str">
        <f t="shared" si="11"/>
        <v>1117-111079-001-1</v>
      </c>
      <c r="X193" s="15" t="str">
        <f t="shared" si="12"/>
        <v>SAN DIONISIO ESTE</v>
      </c>
      <c r="Y193" s="1" t="str">
        <f t="shared" si="13"/>
        <v>1117-111079-001-1 SAN DIONISIO ESTE</v>
      </c>
      <c r="Z193" s="1" t="str">
        <f t="shared" si="14"/>
        <v>1117 SAN DIONISIO-ESTE</v>
      </c>
    </row>
    <row r="194" spans="1:29" x14ac:dyDescent="0.4">
      <c r="B194" s="105" t="s">
        <v>347</v>
      </c>
      <c r="C194" s="105" t="s">
        <v>353</v>
      </c>
      <c r="D194" s="105" t="s">
        <v>354</v>
      </c>
      <c r="E194" s="105" t="s">
        <v>348</v>
      </c>
      <c r="F194" s="106">
        <v>1</v>
      </c>
      <c r="G194" s="105">
        <f>[1]DISTRITOS!A194</f>
        <v>193</v>
      </c>
      <c r="H194" s="105" t="s">
        <v>627</v>
      </c>
      <c r="J194" s="10" t="s">
        <v>198</v>
      </c>
      <c r="K194" s="1" t="s">
        <v>331</v>
      </c>
      <c r="L194" s="10" t="s">
        <v>12</v>
      </c>
      <c r="O194" s="106">
        <v>1</v>
      </c>
      <c r="T194" s="63" t="s">
        <v>351</v>
      </c>
      <c r="U194" s="63" t="s">
        <v>352</v>
      </c>
      <c r="V194" s="63" t="str">
        <f t="shared" ref="V194:V257" si="15">CONCATENATE(J194,T194,H194,T194,K194)</f>
        <v>SANTA ELENA-1118-ESTE</v>
      </c>
      <c r="W194" s="64" t="str">
        <f t="shared" ref="W194:W257" si="16">CONCATENATE(H194,T194,B194,C194,D194,T194,E194,T194,F194)</f>
        <v>1118-111079-001-1</v>
      </c>
      <c r="X194" s="15" t="str">
        <f t="shared" ref="X194:X257" si="17">CONCATENATE(J194,U194,K194)</f>
        <v>SANTA ELENA ESTE</v>
      </c>
      <c r="Y194" s="1" t="str">
        <f t="shared" ref="Y194:Y257" si="18">CONCATENATE(W194,U194,X194)</f>
        <v>1118-111079-001-1 SANTA ELENA ESTE</v>
      </c>
      <c r="Z194" s="1" t="str">
        <f t="shared" ref="Z194:Z257" si="19">CONCATENATE(H194,U194,J194,T194,K194)</f>
        <v>1118 SANTA ELENA-ESTE</v>
      </c>
    </row>
    <row r="195" spans="1:29" ht="32" x14ac:dyDescent="0.4">
      <c r="B195" s="105" t="s">
        <v>347</v>
      </c>
      <c r="C195" s="105" t="s">
        <v>353</v>
      </c>
      <c r="D195" s="105" t="s">
        <v>354</v>
      </c>
      <c r="E195" s="105" t="s">
        <v>348</v>
      </c>
      <c r="F195" s="106">
        <v>1</v>
      </c>
      <c r="G195" s="105">
        <f>[1]DISTRITOS!A195</f>
        <v>194</v>
      </c>
      <c r="H195" s="105" t="s">
        <v>628</v>
      </c>
      <c r="J195" s="10" t="s">
        <v>206</v>
      </c>
      <c r="K195" s="61" t="s">
        <v>333</v>
      </c>
      <c r="L195" s="10" t="s">
        <v>12</v>
      </c>
      <c r="Q195" s="106">
        <v>1</v>
      </c>
      <c r="T195" s="63" t="s">
        <v>351</v>
      </c>
      <c r="U195" s="63" t="s">
        <v>352</v>
      </c>
      <c r="V195" s="63" t="str">
        <f t="shared" si="15"/>
        <v>SAN FRANCISCO JAVIER-1119-OESTE</v>
      </c>
      <c r="W195" s="64" t="str">
        <f t="shared" si="16"/>
        <v>1119-111079-001-1</v>
      </c>
      <c r="X195" s="15" t="str">
        <f t="shared" si="17"/>
        <v>SAN FRANCISCO JAVIER OESTE</v>
      </c>
      <c r="Y195" s="1" t="str">
        <f t="shared" si="18"/>
        <v>1119-111079-001-1 SAN FRANCISCO JAVIER OESTE</v>
      </c>
      <c r="Z195" s="1" t="str">
        <f t="shared" si="19"/>
        <v>1119 SAN FRANCISCO JAVIER-OESTE</v>
      </c>
    </row>
    <row r="196" spans="1:29" x14ac:dyDescent="0.4">
      <c r="B196" s="105" t="s">
        <v>347</v>
      </c>
      <c r="C196" s="105" t="s">
        <v>353</v>
      </c>
      <c r="D196" s="105" t="s">
        <v>354</v>
      </c>
      <c r="E196" s="105" t="s">
        <v>348</v>
      </c>
      <c r="F196" s="106">
        <v>2</v>
      </c>
      <c r="G196" s="105">
        <f>[1]DISTRITOS!A196</f>
        <v>195</v>
      </c>
      <c r="H196" s="105" t="s">
        <v>629</v>
      </c>
      <c r="J196" s="10" t="s">
        <v>630</v>
      </c>
      <c r="K196" s="1" t="s">
        <v>331</v>
      </c>
      <c r="L196" s="10" t="s">
        <v>12</v>
      </c>
      <c r="O196" s="106">
        <v>1</v>
      </c>
      <c r="T196" s="63" t="s">
        <v>351</v>
      </c>
      <c r="U196" s="63" t="s">
        <v>352</v>
      </c>
      <c r="V196" s="63" t="str">
        <f t="shared" si="15"/>
        <v>SANTA MARIA-1120-ESTE</v>
      </c>
      <c r="W196" s="64" t="str">
        <f t="shared" si="16"/>
        <v>1120-111079-001-2</v>
      </c>
      <c r="X196" s="15" t="str">
        <f t="shared" si="17"/>
        <v>SANTA MARIA ESTE</v>
      </c>
      <c r="Y196" s="1" t="str">
        <f t="shared" si="18"/>
        <v>1120-111079-001-2 SANTA MARIA ESTE</v>
      </c>
      <c r="Z196" s="1" t="str">
        <f t="shared" si="19"/>
        <v>1120 SANTA MARIA-ESTE</v>
      </c>
    </row>
    <row r="197" spans="1:29" x14ac:dyDescent="0.4">
      <c r="B197" s="105" t="s">
        <v>511</v>
      </c>
      <c r="C197" s="105" t="s">
        <v>498</v>
      </c>
      <c r="D197" s="105" t="s">
        <v>500</v>
      </c>
      <c r="E197" s="105" t="s">
        <v>348</v>
      </c>
      <c r="F197" s="106">
        <v>9</v>
      </c>
      <c r="G197" s="105">
        <f>[1]DISTRITOS!A197</f>
        <v>196</v>
      </c>
      <c r="H197" s="105" t="s">
        <v>631</v>
      </c>
      <c r="J197" s="10" t="s">
        <v>632</v>
      </c>
      <c r="K197" s="1" t="s">
        <v>332</v>
      </c>
      <c r="L197" s="10" t="s">
        <v>12</v>
      </c>
      <c r="P197" s="106">
        <v>1</v>
      </c>
      <c r="T197" s="63" t="s">
        <v>351</v>
      </c>
      <c r="U197" s="63" t="s">
        <v>352</v>
      </c>
      <c r="V197" s="63" t="str">
        <f t="shared" si="15"/>
        <v>SANTIAGO DE MARIA-1121-NORTE</v>
      </c>
      <c r="W197" s="64" t="str">
        <f t="shared" si="16"/>
        <v>1121-080777-001-9</v>
      </c>
      <c r="X197" s="15" t="str">
        <f t="shared" si="17"/>
        <v>SANTIAGO DE MARIA NORTE</v>
      </c>
      <c r="Y197" s="1" t="str">
        <f t="shared" si="18"/>
        <v>1121-080777-001-9 SANTIAGO DE MARIA NORTE</v>
      </c>
      <c r="Z197" s="1" t="str">
        <f t="shared" si="19"/>
        <v>1121 SANTIAGO DE MARIA-NORTE</v>
      </c>
    </row>
    <row r="198" spans="1:29" x14ac:dyDescent="0.4">
      <c r="B198" s="105" t="s">
        <v>347</v>
      </c>
      <c r="C198" s="105" t="s">
        <v>353</v>
      </c>
      <c r="D198" s="105" t="s">
        <v>354</v>
      </c>
      <c r="E198" s="105" t="s">
        <v>348</v>
      </c>
      <c r="F198" s="106">
        <v>2</v>
      </c>
      <c r="G198" s="105">
        <f>[1]DISTRITOS!A198</f>
        <v>197</v>
      </c>
      <c r="H198" s="105" t="s">
        <v>633</v>
      </c>
      <c r="J198" s="10" t="s">
        <v>634</v>
      </c>
      <c r="K198" s="1" t="s">
        <v>331</v>
      </c>
      <c r="L198" s="10" t="s">
        <v>12</v>
      </c>
      <c r="O198" s="106">
        <v>1</v>
      </c>
      <c r="T198" s="63" t="s">
        <v>351</v>
      </c>
      <c r="U198" s="63" t="s">
        <v>352</v>
      </c>
      <c r="V198" s="63" t="str">
        <f t="shared" si="15"/>
        <v>TECAPAN-1122-ESTE</v>
      </c>
      <c r="W198" s="64" t="str">
        <f t="shared" si="16"/>
        <v>1122-111079-001-2</v>
      </c>
      <c r="X198" s="15" t="str">
        <f t="shared" si="17"/>
        <v>TECAPAN ESTE</v>
      </c>
      <c r="Y198" s="1" t="str">
        <f t="shared" si="18"/>
        <v>1122-111079-001-2 TECAPAN ESTE</v>
      </c>
      <c r="Z198" s="1" t="str">
        <f t="shared" si="19"/>
        <v>1122 TECAPAN-ESTE</v>
      </c>
    </row>
    <row r="199" spans="1:29" x14ac:dyDescent="0.4">
      <c r="B199" s="105" t="s">
        <v>345</v>
      </c>
      <c r="C199" s="105" t="s">
        <v>346</v>
      </c>
      <c r="D199" s="105" t="s">
        <v>347</v>
      </c>
      <c r="E199" s="105" t="s">
        <v>380</v>
      </c>
      <c r="F199" s="106">
        <v>7</v>
      </c>
      <c r="G199" s="105">
        <f>[1]DISTRITOS!A199</f>
        <v>198</v>
      </c>
      <c r="H199" s="105" t="s">
        <v>635</v>
      </c>
      <c r="I199" s="1">
        <f>[2]DEPARTAMENTOS!A12</f>
        <v>11</v>
      </c>
      <c r="J199" s="10" t="s">
        <v>12</v>
      </c>
      <c r="K199" s="1" t="s">
        <v>331</v>
      </c>
      <c r="L199" s="10" t="s">
        <v>12</v>
      </c>
      <c r="O199" s="106">
        <v>1</v>
      </c>
      <c r="T199" s="63" t="s">
        <v>351</v>
      </c>
      <c r="U199" s="63" t="s">
        <v>352</v>
      </c>
      <c r="V199" s="63" t="str">
        <f t="shared" si="15"/>
        <v>USULUTAN-1123-ESTE</v>
      </c>
      <c r="W199" s="64" t="str">
        <f t="shared" si="16"/>
        <v>1123-010611-002-7</v>
      </c>
      <c r="X199" s="15" t="str">
        <f t="shared" si="17"/>
        <v>USULUTAN ESTE</v>
      </c>
      <c r="Y199" s="1" t="str">
        <f t="shared" si="18"/>
        <v>1123-010611-002-7 USULUTAN ESTE</v>
      </c>
      <c r="Z199" s="1" t="str">
        <f t="shared" si="19"/>
        <v>1123 USULUTAN-ESTE</v>
      </c>
    </row>
    <row r="200" spans="1:29" x14ac:dyDescent="0.4">
      <c r="A200" s="9"/>
      <c r="B200" s="109" t="s">
        <v>636</v>
      </c>
      <c r="C200" s="109" t="s">
        <v>353</v>
      </c>
      <c r="D200" s="109" t="s">
        <v>354</v>
      </c>
      <c r="E200" s="109" t="s">
        <v>348</v>
      </c>
      <c r="F200" s="110">
        <v>0</v>
      </c>
      <c r="G200" s="109">
        <f>[1]DISTRITOS!A200</f>
        <v>199</v>
      </c>
      <c r="H200" s="109" t="s">
        <v>637</v>
      </c>
      <c r="I200" s="9"/>
      <c r="J200" s="9" t="s">
        <v>212</v>
      </c>
      <c r="K200" s="1" t="s">
        <v>332</v>
      </c>
      <c r="L200" s="9" t="s">
        <v>13</v>
      </c>
      <c r="M200" s="110"/>
      <c r="N200" s="110"/>
      <c r="O200" s="110"/>
      <c r="P200" s="110">
        <v>1</v>
      </c>
      <c r="Q200" s="110"/>
      <c r="R200" s="110"/>
      <c r="S200" s="9"/>
      <c r="T200" s="63" t="s">
        <v>351</v>
      </c>
      <c r="U200" s="63" t="s">
        <v>352</v>
      </c>
      <c r="V200" s="63" t="str">
        <f t="shared" si="15"/>
        <v>CAROLINA-1201-NORTE</v>
      </c>
      <c r="W200" s="64" t="str">
        <f t="shared" si="16"/>
        <v>1201-121079-001-0</v>
      </c>
      <c r="X200" s="15" t="str">
        <f t="shared" si="17"/>
        <v>CAROLINA NORTE</v>
      </c>
      <c r="Y200" s="1" t="str">
        <f t="shared" si="18"/>
        <v>1201-121079-001-0 CAROLINA NORTE</v>
      </c>
      <c r="Z200" s="1" t="str">
        <f t="shared" si="19"/>
        <v>1201 CAROLINA-NORTE</v>
      </c>
      <c r="AA200" s="9"/>
      <c r="AB200" s="9"/>
      <c r="AC200" s="9"/>
    </row>
    <row r="201" spans="1:29" x14ac:dyDescent="0.4">
      <c r="A201" s="9" t="s">
        <v>356</v>
      </c>
      <c r="B201" s="109" t="s">
        <v>638</v>
      </c>
      <c r="C201" s="109" t="s">
        <v>415</v>
      </c>
      <c r="D201" s="109" t="s">
        <v>576</v>
      </c>
      <c r="E201" s="109" t="s">
        <v>348</v>
      </c>
      <c r="F201" s="110">
        <v>7</v>
      </c>
      <c r="G201" s="109">
        <f>[1]DISTRITOS!A201</f>
        <v>200</v>
      </c>
      <c r="H201" s="109" t="s">
        <v>639</v>
      </c>
      <c r="J201" s="9" t="s">
        <v>207</v>
      </c>
      <c r="K201" s="1" t="s">
        <v>332</v>
      </c>
      <c r="L201" s="9" t="s">
        <v>13</v>
      </c>
      <c r="P201" s="110">
        <v>1</v>
      </c>
      <c r="T201" s="63" t="s">
        <v>351</v>
      </c>
      <c r="U201" s="63" t="s">
        <v>352</v>
      </c>
      <c r="V201" s="63" t="str">
        <f t="shared" si="15"/>
        <v>CIUDAD BARRIOS-1202-NORTE</v>
      </c>
      <c r="W201" s="64" t="str">
        <f t="shared" si="16"/>
        <v>1202-210413-001-7</v>
      </c>
      <c r="X201" s="15" t="str">
        <f t="shared" si="17"/>
        <v>CIUDAD BARRIOS NORTE</v>
      </c>
      <c r="Y201" s="1" t="str">
        <f t="shared" si="18"/>
        <v>1202-210413-001-7 CIUDAD BARRIOS NORTE</v>
      </c>
      <c r="Z201" s="1" t="str">
        <f t="shared" si="19"/>
        <v>1202 CIUDAD BARRIOS-NORTE</v>
      </c>
      <c r="AA201" s="111">
        <v>758.96</v>
      </c>
      <c r="AB201" s="112">
        <v>79611</v>
      </c>
      <c r="AC201" s="111">
        <v>104.89</v>
      </c>
    </row>
    <row r="202" spans="1:29" ht="32" x14ac:dyDescent="0.4">
      <c r="B202" s="109" t="s">
        <v>636</v>
      </c>
      <c r="C202" s="109" t="s">
        <v>353</v>
      </c>
      <c r="D202" s="109" t="s">
        <v>354</v>
      </c>
      <c r="E202" s="109" t="s">
        <v>348</v>
      </c>
      <c r="F202" s="110">
        <v>0</v>
      </c>
      <c r="G202" s="109">
        <f>[1]DISTRITOS!A202</f>
        <v>201</v>
      </c>
      <c r="H202" s="109" t="s">
        <v>640</v>
      </c>
      <c r="J202" s="9" t="s">
        <v>641</v>
      </c>
      <c r="K202" s="61" t="s">
        <v>329</v>
      </c>
      <c r="L202" s="9" t="s">
        <v>13</v>
      </c>
      <c r="M202" s="110">
        <v>1</v>
      </c>
      <c r="T202" s="63" t="s">
        <v>351</v>
      </c>
      <c r="U202" s="63" t="s">
        <v>352</v>
      </c>
      <c r="V202" s="63" t="str">
        <f t="shared" si="15"/>
        <v>COMACARAN-1203-CENTRO</v>
      </c>
      <c r="W202" s="64" t="str">
        <f t="shared" si="16"/>
        <v>1203-121079-001-0</v>
      </c>
      <c r="X202" s="15" t="str">
        <f t="shared" si="17"/>
        <v>COMACARAN CENTRO</v>
      </c>
      <c r="Y202" s="1" t="str">
        <f t="shared" si="18"/>
        <v>1203-121079-001-0 COMACARAN CENTRO</v>
      </c>
      <c r="Z202" s="1" t="str">
        <f t="shared" si="19"/>
        <v>1203 COMACARAN-CENTRO</v>
      </c>
    </row>
    <row r="203" spans="1:29" x14ac:dyDescent="0.4">
      <c r="B203" s="109" t="s">
        <v>636</v>
      </c>
      <c r="C203" s="109" t="s">
        <v>353</v>
      </c>
      <c r="D203" s="109" t="s">
        <v>354</v>
      </c>
      <c r="E203" s="109" t="s">
        <v>348</v>
      </c>
      <c r="F203" s="110">
        <v>0</v>
      </c>
      <c r="G203" s="109">
        <f>[1]DISTRITOS!A203</f>
        <v>202</v>
      </c>
      <c r="H203" s="109" t="s">
        <v>642</v>
      </c>
      <c r="J203" s="9" t="s">
        <v>214</v>
      </c>
      <c r="K203" s="1" t="s">
        <v>332</v>
      </c>
      <c r="L203" s="9" t="s">
        <v>13</v>
      </c>
      <c r="P203" s="110">
        <v>1</v>
      </c>
      <c r="T203" s="63" t="s">
        <v>351</v>
      </c>
      <c r="U203" s="63" t="s">
        <v>352</v>
      </c>
      <c r="V203" s="63" t="str">
        <f t="shared" si="15"/>
        <v>CHAPELTIQUE-1204-NORTE</v>
      </c>
      <c r="W203" s="64" t="str">
        <f t="shared" si="16"/>
        <v>1204-121079-001-0</v>
      </c>
      <c r="X203" s="15" t="str">
        <f t="shared" si="17"/>
        <v>CHAPELTIQUE NORTE</v>
      </c>
      <c r="Y203" s="1" t="str">
        <f t="shared" si="18"/>
        <v>1204-121079-001-0 CHAPELTIQUE NORTE</v>
      </c>
      <c r="Z203" s="1" t="str">
        <f t="shared" si="19"/>
        <v>1204 CHAPELTIQUE-NORTE</v>
      </c>
    </row>
    <row r="204" spans="1:29" ht="32" x14ac:dyDescent="0.4">
      <c r="A204" s="9" t="s">
        <v>371</v>
      </c>
      <c r="B204" s="109" t="s">
        <v>636</v>
      </c>
      <c r="C204" s="109" t="s">
        <v>353</v>
      </c>
      <c r="D204" s="109" t="s">
        <v>354</v>
      </c>
      <c r="E204" s="109" t="s">
        <v>348</v>
      </c>
      <c r="F204" s="110">
        <v>0</v>
      </c>
      <c r="G204" s="109">
        <f>[1]DISTRITOS!A204</f>
        <v>203</v>
      </c>
      <c r="H204" s="109" t="s">
        <v>643</v>
      </c>
      <c r="J204" s="9" t="s">
        <v>220</v>
      </c>
      <c r="K204" s="61" t="s">
        <v>333</v>
      </c>
      <c r="L204" s="9" t="s">
        <v>13</v>
      </c>
      <c r="Q204" s="110">
        <v>1</v>
      </c>
      <c r="T204" s="63" t="s">
        <v>351</v>
      </c>
      <c r="U204" s="63" t="s">
        <v>352</v>
      </c>
      <c r="V204" s="63" t="str">
        <f t="shared" si="15"/>
        <v>CHINAMECA-1205-OESTE</v>
      </c>
      <c r="W204" s="64" t="str">
        <f t="shared" si="16"/>
        <v>1205-121079-001-0</v>
      </c>
      <c r="X204" s="15" t="str">
        <f t="shared" si="17"/>
        <v>CHINAMECA OESTE</v>
      </c>
      <c r="Y204" s="1" t="str">
        <f t="shared" si="18"/>
        <v>1205-121079-001-0 CHINAMECA OESTE</v>
      </c>
      <c r="Z204" s="1" t="str">
        <f t="shared" si="19"/>
        <v>1205 CHINAMECA-OESTE</v>
      </c>
      <c r="AA204" s="111">
        <v>321.06</v>
      </c>
      <c r="AB204" s="112">
        <v>86900</v>
      </c>
      <c r="AC204" s="111">
        <v>270.67</v>
      </c>
    </row>
    <row r="205" spans="1:29" ht="32" x14ac:dyDescent="0.4">
      <c r="B205" s="109" t="s">
        <v>636</v>
      </c>
      <c r="C205" s="109" t="s">
        <v>353</v>
      </c>
      <c r="D205" s="109" t="s">
        <v>354</v>
      </c>
      <c r="E205" s="109" t="s">
        <v>348</v>
      </c>
      <c r="F205" s="110">
        <v>0</v>
      </c>
      <c r="G205" s="109">
        <f>[1]DISTRITOS!A205</f>
        <v>204</v>
      </c>
      <c r="H205" s="109" t="s">
        <v>644</v>
      </c>
      <c r="J205" s="9" t="s">
        <v>219</v>
      </c>
      <c r="K205" s="61" t="s">
        <v>329</v>
      </c>
      <c r="L205" s="9" t="s">
        <v>13</v>
      </c>
      <c r="M205" s="110">
        <v>1</v>
      </c>
      <c r="T205" s="63" t="s">
        <v>351</v>
      </c>
      <c r="U205" s="63" t="s">
        <v>352</v>
      </c>
      <c r="V205" s="63" t="str">
        <f t="shared" si="15"/>
        <v>CHIRILAGUA-1206-CENTRO</v>
      </c>
      <c r="W205" s="64" t="str">
        <f t="shared" si="16"/>
        <v>1206-121079-001-0</v>
      </c>
      <c r="X205" s="15" t="str">
        <f t="shared" si="17"/>
        <v>CHIRILAGUA CENTRO</v>
      </c>
      <c r="Y205" s="1" t="str">
        <f t="shared" si="18"/>
        <v>1206-121079-001-0 CHIRILAGUA CENTRO</v>
      </c>
      <c r="Z205" s="1" t="str">
        <f t="shared" si="19"/>
        <v>1206 CHIRILAGUA-CENTRO</v>
      </c>
    </row>
    <row r="206" spans="1:29" ht="32" x14ac:dyDescent="0.4">
      <c r="B206" s="109" t="s">
        <v>636</v>
      </c>
      <c r="C206" s="109" t="s">
        <v>353</v>
      </c>
      <c r="D206" s="109" t="s">
        <v>354</v>
      </c>
      <c r="E206" s="109" t="s">
        <v>348</v>
      </c>
      <c r="F206" s="110">
        <v>0</v>
      </c>
      <c r="G206" s="109">
        <f>[1]DISTRITOS!A206</f>
        <v>205</v>
      </c>
      <c r="H206" s="109" t="s">
        <v>645</v>
      </c>
      <c r="J206" s="9" t="s">
        <v>646</v>
      </c>
      <c r="K206" s="61" t="s">
        <v>333</v>
      </c>
      <c r="L206" s="9" t="s">
        <v>13</v>
      </c>
      <c r="Q206" s="110">
        <v>1</v>
      </c>
      <c r="T206" s="63" t="s">
        <v>351</v>
      </c>
      <c r="U206" s="63" t="s">
        <v>352</v>
      </c>
      <c r="V206" s="63" t="str">
        <f t="shared" si="15"/>
        <v>EL TRANSITO-1207-OESTE</v>
      </c>
      <c r="W206" s="64" t="str">
        <f t="shared" si="16"/>
        <v>1207-121079-001-0</v>
      </c>
      <c r="X206" s="15" t="str">
        <f t="shared" si="17"/>
        <v>EL TRANSITO OESTE</v>
      </c>
      <c r="Y206" s="1" t="str">
        <f t="shared" si="18"/>
        <v>1207-121079-001-0 EL TRANSITO OESTE</v>
      </c>
      <c r="Z206" s="1" t="str">
        <f t="shared" si="19"/>
        <v>1207 EL TRANSITO-OESTE</v>
      </c>
    </row>
    <row r="207" spans="1:29" ht="32" x14ac:dyDescent="0.4">
      <c r="B207" s="109" t="s">
        <v>636</v>
      </c>
      <c r="C207" s="109" t="s">
        <v>353</v>
      </c>
      <c r="D207" s="109" t="s">
        <v>354</v>
      </c>
      <c r="E207" s="109" t="s">
        <v>348</v>
      </c>
      <c r="F207" s="110">
        <v>0</v>
      </c>
      <c r="G207" s="109">
        <f>[1]DISTRITOS!A207</f>
        <v>206</v>
      </c>
      <c r="H207" s="109" t="s">
        <v>647</v>
      </c>
      <c r="J207" s="9" t="s">
        <v>222</v>
      </c>
      <c r="K207" s="61" t="s">
        <v>333</v>
      </c>
      <c r="L207" s="9" t="s">
        <v>13</v>
      </c>
      <c r="Q207" s="110">
        <v>1</v>
      </c>
      <c r="T207" s="63" t="s">
        <v>351</v>
      </c>
      <c r="U207" s="63" t="s">
        <v>352</v>
      </c>
      <c r="V207" s="63" t="str">
        <f t="shared" si="15"/>
        <v>LOLOTIQUE-1208-OESTE</v>
      </c>
      <c r="W207" s="64" t="str">
        <f t="shared" si="16"/>
        <v>1208-121079-001-0</v>
      </c>
      <c r="X207" s="15" t="str">
        <f t="shared" si="17"/>
        <v>LOLOTIQUE OESTE</v>
      </c>
      <c r="Y207" s="1" t="str">
        <f t="shared" si="18"/>
        <v>1208-121079-001-0 LOLOTIQUE OESTE</v>
      </c>
      <c r="Z207" s="1" t="str">
        <f t="shared" si="19"/>
        <v>1208 LOLOTIQUE-OESTE</v>
      </c>
    </row>
    <row r="208" spans="1:29" ht="32" x14ac:dyDescent="0.4">
      <c r="B208" s="109" t="s">
        <v>636</v>
      </c>
      <c r="C208" s="109" t="s">
        <v>353</v>
      </c>
      <c r="D208" s="109" t="s">
        <v>648</v>
      </c>
      <c r="E208" s="109" t="s">
        <v>348</v>
      </c>
      <c r="F208" s="110">
        <v>7</v>
      </c>
      <c r="G208" s="109">
        <f>[1]DISTRITOS!A208</f>
        <v>207</v>
      </c>
      <c r="H208" s="109" t="s">
        <v>649</v>
      </c>
      <c r="J208" s="9" t="s">
        <v>217</v>
      </c>
      <c r="K208" s="61" t="s">
        <v>329</v>
      </c>
      <c r="L208" s="9" t="s">
        <v>13</v>
      </c>
      <c r="M208" s="110">
        <v>1</v>
      </c>
      <c r="T208" s="63" t="s">
        <v>351</v>
      </c>
      <c r="U208" s="63" t="s">
        <v>352</v>
      </c>
      <c r="V208" s="63" t="str">
        <f t="shared" si="15"/>
        <v>MONCAGUA-1209-CENTRO</v>
      </c>
      <c r="W208" s="64" t="str">
        <f t="shared" si="16"/>
        <v>1209-121076-001-7</v>
      </c>
      <c r="X208" s="15" t="str">
        <f t="shared" si="17"/>
        <v>MONCAGUA CENTRO</v>
      </c>
      <c r="Y208" s="1" t="str">
        <f t="shared" si="18"/>
        <v>1209-121076-001-7 MONCAGUA CENTRO</v>
      </c>
      <c r="Z208" s="1" t="str">
        <f t="shared" si="19"/>
        <v>1209 MONCAGUA-CENTRO</v>
      </c>
    </row>
    <row r="209" spans="1:29" ht="32" x14ac:dyDescent="0.4">
      <c r="B209" s="109" t="s">
        <v>636</v>
      </c>
      <c r="C209" s="109" t="s">
        <v>353</v>
      </c>
      <c r="D209" s="109" t="s">
        <v>354</v>
      </c>
      <c r="E209" s="109" t="s">
        <v>348</v>
      </c>
      <c r="F209" s="110">
        <v>1</v>
      </c>
      <c r="G209" s="109">
        <f>[1]DISTRITOS!A209</f>
        <v>208</v>
      </c>
      <c r="H209" s="109" t="s">
        <v>650</v>
      </c>
      <c r="J209" s="9" t="s">
        <v>223</v>
      </c>
      <c r="K209" s="61" t="s">
        <v>333</v>
      </c>
      <c r="L209" s="9" t="s">
        <v>13</v>
      </c>
      <c r="Q209" s="110">
        <v>1</v>
      </c>
      <c r="T209" s="63" t="s">
        <v>351</v>
      </c>
      <c r="U209" s="63" t="s">
        <v>352</v>
      </c>
      <c r="V209" s="63" t="str">
        <f t="shared" si="15"/>
        <v>NUEVA GUADALUPE-1210-OESTE</v>
      </c>
      <c r="W209" s="64" t="str">
        <f t="shared" si="16"/>
        <v>1210-121079-001-1</v>
      </c>
      <c r="X209" s="15" t="str">
        <f t="shared" si="17"/>
        <v>NUEVA GUADALUPE OESTE</v>
      </c>
      <c r="Y209" s="1" t="str">
        <f t="shared" si="18"/>
        <v>1210-121079-001-1 NUEVA GUADALUPE OESTE</v>
      </c>
      <c r="Z209" s="1" t="str">
        <f t="shared" si="19"/>
        <v>1210 NUEVA GUADALUPE-OESTE</v>
      </c>
    </row>
    <row r="210" spans="1:29" x14ac:dyDescent="0.4">
      <c r="B210" s="109" t="s">
        <v>636</v>
      </c>
      <c r="C210" s="109" t="s">
        <v>353</v>
      </c>
      <c r="D210" s="109" t="s">
        <v>354</v>
      </c>
      <c r="E210" s="109" t="s">
        <v>348</v>
      </c>
      <c r="F210" s="110">
        <v>1</v>
      </c>
      <c r="G210" s="109">
        <f>[1]DISTRITOS!A210</f>
        <v>209</v>
      </c>
      <c r="H210" s="109" t="s">
        <v>651</v>
      </c>
      <c r="J210" s="9" t="s">
        <v>652</v>
      </c>
      <c r="K210" s="1" t="s">
        <v>332</v>
      </c>
      <c r="L210" s="9" t="s">
        <v>13</v>
      </c>
      <c r="P210" s="110">
        <v>1</v>
      </c>
      <c r="T210" s="63" t="s">
        <v>351</v>
      </c>
      <c r="U210" s="63" t="s">
        <v>352</v>
      </c>
      <c r="V210" s="63" t="str">
        <f t="shared" si="15"/>
        <v>NUEVO EDEN DE SAN JUAN-1211-NORTE</v>
      </c>
      <c r="W210" s="64" t="str">
        <f t="shared" si="16"/>
        <v>1211-121079-001-1</v>
      </c>
      <c r="X210" s="15" t="str">
        <f t="shared" si="17"/>
        <v>NUEVO EDEN DE SAN JUAN NORTE</v>
      </c>
      <c r="Y210" s="1" t="str">
        <f t="shared" si="18"/>
        <v>1211-121079-001-1 NUEVO EDEN DE SAN JUAN NORTE</v>
      </c>
      <c r="Z210" s="1" t="str">
        <f t="shared" si="19"/>
        <v>1211 NUEVO EDEN DE SAN JUAN-NORTE</v>
      </c>
    </row>
    <row r="211" spans="1:29" ht="32" x14ac:dyDescent="0.4">
      <c r="B211" s="109" t="s">
        <v>636</v>
      </c>
      <c r="C211" s="109" t="s">
        <v>353</v>
      </c>
      <c r="D211" s="109" t="s">
        <v>354</v>
      </c>
      <c r="E211" s="109" t="s">
        <v>348</v>
      </c>
      <c r="F211" s="110">
        <v>1</v>
      </c>
      <c r="G211" s="109">
        <f>[1]DISTRITOS!A211</f>
        <v>210</v>
      </c>
      <c r="H211" s="109" t="s">
        <v>653</v>
      </c>
      <c r="J211" s="9" t="s">
        <v>218</v>
      </c>
      <c r="K211" s="61" t="s">
        <v>329</v>
      </c>
      <c r="L211" s="9" t="s">
        <v>13</v>
      </c>
      <c r="M211" s="110">
        <v>1</v>
      </c>
      <c r="T211" s="63" t="s">
        <v>351</v>
      </c>
      <c r="U211" s="63" t="s">
        <v>352</v>
      </c>
      <c r="V211" s="63" t="str">
        <f t="shared" si="15"/>
        <v>QUELEPA-1212-CENTRO</v>
      </c>
      <c r="W211" s="64" t="str">
        <f t="shared" si="16"/>
        <v>1212-121079-001-1</v>
      </c>
      <c r="X211" s="15" t="str">
        <f t="shared" si="17"/>
        <v>QUELEPA CENTRO</v>
      </c>
      <c r="Y211" s="1" t="str">
        <f t="shared" si="18"/>
        <v>1212-121079-001-1 QUELEPA CENTRO</v>
      </c>
      <c r="Z211" s="1" t="str">
        <f t="shared" si="19"/>
        <v>1212 QUELEPA-CENTRO</v>
      </c>
    </row>
    <row r="212" spans="1:29" x14ac:dyDescent="0.4">
      <c r="B212" s="109" t="s">
        <v>636</v>
      </c>
      <c r="C212" s="109" t="s">
        <v>353</v>
      </c>
      <c r="D212" s="109" t="s">
        <v>354</v>
      </c>
      <c r="E212" s="109" t="s">
        <v>348</v>
      </c>
      <c r="F212" s="110">
        <v>1</v>
      </c>
      <c r="G212" s="109">
        <f>[1]DISTRITOS!A212</f>
        <v>211</v>
      </c>
      <c r="H212" s="109" t="s">
        <v>654</v>
      </c>
      <c r="J212" s="9" t="s">
        <v>655</v>
      </c>
      <c r="K212" s="1" t="s">
        <v>332</v>
      </c>
      <c r="L212" s="9" t="s">
        <v>13</v>
      </c>
      <c r="P212" s="110">
        <v>1</v>
      </c>
      <c r="T212" s="63" t="s">
        <v>351</v>
      </c>
      <c r="U212" s="63" t="s">
        <v>352</v>
      </c>
      <c r="V212" s="63" t="str">
        <f t="shared" si="15"/>
        <v>SAN ANTONIO DEL MOSCO-1213-NORTE</v>
      </c>
      <c r="W212" s="64" t="str">
        <f t="shared" si="16"/>
        <v>1213-121079-001-1</v>
      </c>
      <c r="X212" s="15" t="str">
        <f t="shared" si="17"/>
        <v>SAN ANTONIO DEL MOSCO NORTE</v>
      </c>
      <c r="Y212" s="1" t="str">
        <f t="shared" si="18"/>
        <v>1213-121079-001-1 SAN ANTONIO DEL MOSCO NORTE</v>
      </c>
      <c r="Z212" s="1" t="str">
        <f t="shared" si="19"/>
        <v>1213 SAN ANTONIO DEL MOSCO-NORTE</v>
      </c>
    </row>
    <row r="213" spans="1:29" x14ac:dyDescent="0.4">
      <c r="B213" s="109" t="s">
        <v>636</v>
      </c>
      <c r="C213" s="109" t="s">
        <v>353</v>
      </c>
      <c r="D213" s="109" t="s">
        <v>354</v>
      </c>
      <c r="E213" s="109" t="s">
        <v>348</v>
      </c>
      <c r="F213" s="110">
        <v>1</v>
      </c>
      <c r="G213" s="109">
        <f>[1]DISTRITOS!A213</f>
        <v>212</v>
      </c>
      <c r="H213" s="109" t="s">
        <v>656</v>
      </c>
      <c r="J213" s="9" t="s">
        <v>210</v>
      </c>
      <c r="K213" s="1" t="s">
        <v>332</v>
      </c>
      <c r="L213" s="9" t="s">
        <v>13</v>
      </c>
      <c r="P213" s="110">
        <v>1</v>
      </c>
      <c r="T213" s="63" t="s">
        <v>351</v>
      </c>
      <c r="U213" s="63" t="s">
        <v>352</v>
      </c>
      <c r="V213" s="63" t="str">
        <f t="shared" si="15"/>
        <v>SAN GERARDO-1214-NORTE</v>
      </c>
      <c r="W213" s="64" t="str">
        <f t="shared" si="16"/>
        <v>1214-121079-001-1</v>
      </c>
      <c r="X213" s="15" t="str">
        <f t="shared" si="17"/>
        <v>SAN GERARDO NORTE</v>
      </c>
      <c r="Y213" s="1" t="str">
        <f t="shared" si="18"/>
        <v>1214-121079-001-1 SAN GERARDO NORTE</v>
      </c>
      <c r="Z213" s="1" t="str">
        <f t="shared" si="19"/>
        <v>1214 SAN GERARDO-NORTE</v>
      </c>
    </row>
    <row r="214" spans="1:29" ht="32" x14ac:dyDescent="0.4">
      <c r="B214" s="109" t="s">
        <v>636</v>
      </c>
      <c r="C214" s="109" t="s">
        <v>353</v>
      </c>
      <c r="D214" s="109" t="s">
        <v>354</v>
      </c>
      <c r="E214" s="109" t="s">
        <v>348</v>
      </c>
      <c r="F214" s="110">
        <v>1</v>
      </c>
      <c r="G214" s="109">
        <f>[1]DISTRITOS!A214</f>
        <v>213</v>
      </c>
      <c r="H214" s="109" t="s">
        <v>657</v>
      </c>
      <c r="J214" s="9" t="s">
        <v>224</v>
      </c>
      <c r="K214" s="61" t="s">
        <v>333</v>
      </c>
      <c r="L214" s="9" t="s">
        <v>13</v>
      </c>
      <c r="Q214" s="110">
        <v>1</v>
      </c>
      <c r="T214" s="63" t="s">
        <v>351</v>
      </c>
      <c r="U214" s="63" t="s">
        <v>352</v>
      </c>
      <c r="V214" s="63" t="str">
        <f t="shared" si="15"/>
        <v>SAN JORGE-1215-OESTE</v>
      </c>
      <c r="W214" s="64" t="str">
        <f t="shared" si="16"/>
        <v>1215-121079-001-1</v>
      </c>
      <c r="X214" s="15" t="str">
        <f t="shared" si="17"/>
        <v>SAN JORGE OESTE</v>
      </c>
      <c r="Y214" s="1" t="str">
        <f t="shared" si="18"/>
        <v>1215-121079-001-1 SAN JORGE OESTE</v>
      </c>
      <c r="Z214" s="1" t="str">
        <f t="shared" si="19"/>
        <v>1215 SAN JORGE-OESTE</v>
      </c>
    </row>
    <row r="215" spans="1:29" x14ac:dyDescent="0.4">
      <c r="B215" s="109" t="s">
        <v>636</v>
      </c>
      <c r="C215" s="109" t="s">
        <v>353</v>
      </c>
      <c r="D215" s="109" t="s">
        <v>354</v>
      </c>
      <c r="E215" s="109" t="s">
        <v>348</v>
      </c>
      <c r="F215" s="110">
        <v>1</v>
      </c>
      <c r="G215" s="109">
        <f>[1]DISTRITOS!A215</f>
        <v>214</v>
      </c>
      <c r="H215" s="109" t="s">
        <v>658</v>
      </c>
      <c r="J215" s="9" t="s">
        <v>211</v>
      </c>
      <c r="K215" s="1" t="s">
        <v>332</v>
      </c>
      <c r="L215" s="9" t="s">
        <v>13</v>
      </c>
      <c r="P215" s="110">
        <v>1</v>
      </c>
      <c r="T215" s="63" t="s">
        <v>351</v>
      </c>
      <c r="U215" s="63" t="s">
        <v>352</v>
      </c>
      <c r="V215" s="63" t="str">
        <f t="shared" si="15"/>
        <v>SAN LUIS DE LA REINA-1216-NORTE</v>
      </c>
      <c r="W215" s="64" t="str">
        <f t="shared" si="16"/>
        <v>1216-121079-001-1</v>
      </c>
      <c r="X215" s="15" t="str">
        <f t="shared" si="17"/>
        <v>SAN LUIS DE LA REINA NORTE</v>
      </c>
      <c r="Y215" s="1" t="str">
        <f t="shared" si="18"/>
        <v>1216-121079-001-1 SAN LUIS DE LA REINA NORTE</v>
      </c>
      <c r="Z215" s="1" t="str">
        <f t="shared" si="19"/>
        <v>1216 SAN LUIS DE LA REINA-NORTE</v>
      </c>
    </row>
    <row r="216" spans="1:29" ht="32" x14ac:dyDescent="0.4">
      <c r="A216" s="9" t="s">
        <v>344</v>
      </c>
      <c r="B216" s="109" t="s">
        <v>345</v>
      </c>
      <c r="C216" s="109" t="s">
        <v>346</v>
      </c>
      <c r="D216" s="109" t="s">
        <v>347</v>
      </c>
      <c r="E216" s="109" t="s">
        <v>348</v>
      </c>
      <c r="F216" s="110">
        <v>6</v>
      </c>
      <c r="G216" s="109">
        <f>[1]DISTRITOS!A216</f>
        <v>215</v>
      </c>
      <c r="H216" s="109" t="s">
        <v>659</v>
      </c>
      <c r="I216" s="1">
        <f>[2]DEPARTAMENTOS!A13</f>
        <v>12</v>
      </c>
      <c r="J216" s="9" t="s">
        <v>13</v>
      </c>
      <c r="K216" s="61" t="s">
        <v>329</v>
      </c>
      <c r="L216" s="9" t="s">
        <v>13</v>
      </c>
      <c r="M216" s="110">
        <v>1</v>
      </c>
      <c r="T216" s="63" t="s">
        <v>351</v>
      </c>
      <c r="U216" s="63" t="s">
        <v>352</v>
      </c>
      <c r="V216" s="63" t="str">
        <f t="shared" si="15"/>
        <v>SAN MIGUEL-1217-CENTRO</v>
      </c>
      <c r="W216" s="64" t="str">
        <f t="shared" si="16"/>
        <v>1217-010611-001-6</v>
      </c>
      <c r="X216" s="15" t="str">
        <f t="shared" si="17"/>
        <v>SAN MIGUEL CENTRO</v>
      </c>
      <c r="Y216" s="1" t="str">
        <f t="shared" si="18"/>
        <v>1217-010611-001-6 SAN MIGUEL CENTRO</v>
      </c>
      <c r="Z216" s="1" t="str">
        <f t="shared" si="19"/>
        <v>1217 SAN MIGUEL-CENTRO</v>
      </c>
      <c r="AA216" s="111">
        <v>997.08</v>
      </c>
      <c r="AB216" s="112">
        <v>398361</v>
      </c>
      <c r="AC216" s="111">
        <v>399.53</v>
      </c>
    </row>
    <row r="217" spans="1:29" ht="32" x14ac:dyDescent="0.4">
      <c r="B217" s="109" t="s">
        <v>636</v>
      </c>
      <c r="C217" s="109" t="s">
        <v>353</v>
      </c>
      <c r="D217" s="109" t="s">
        <v>354</v>
      </c>
      <c r="E217" s="109" t="s">
        <v>348</v>
      </c>
      <c r="F217" s="110">
        <v>1</v>
      </c>
      <c r="G217" s="109">
        <f>[1]DISTRITOS!A217</f>
        <v>216</v>
      </c>
      <c r="H217" s="109" t="s">
        <v>660</v>
      </c>
      <c r="J217" s="9" t="s">
        <v>225</v>
      </c>
      <c r="K217" s="61" t="s">
        <v>333</v>
      </c>
      <c r="L217" s="9" t="s">
        <v>13</v>
      </c>
      <c r="Q217" s="110">
        <v>1</v>
      </c>
      <c r="T217" s="63" t="s">
        <v>351</v>
      </c>
      <c r="U217" s="63" t="s">
        <v>352</v>
      </c>
      <c r="V217" s="63" t="str">
        <f t="shared" si="15"/>
        <v>SAN RAFAEL ORIENTE-1218-OESTE</v>
      </c>
      <c r="W217" s="64" t="str">
        <f t="shared" si="16"/>
        <v>1218-121079-001-1</v>
      </c>
      <c r="X217" s="15" t="str">
        <f t="shared" si="17"/>
        <v>SAN RAFAEL ORIENTE OESTE</v>
      </c>
      <c r="Y217" s="1" t="str">
        <f t="shared" si="18"/>
        <v>1218-121079-001-1 SAN RAFAEL ORIENTE OESTE</v>
      </c>
      <c r="Z217" s="1" t="str">
        <f t="shared" si="19"/>
        <v>1218 SAN RAFAEL ORIENTE-OESTE</v>
      </c>
    </row>
    <row r="218" spans="1:29" x14ac:dyDescent="0.4">
      <c r="B218" s="109" t="s">
        <v>636</v>
      </c>
      <c r="C218" s="109" t="s">
        <v>353</v>
      </c>
      <c r="D218" s="109" t="s">
        <v>354</v>
      </c>
      <c r="E218" s="109" t="s">
        <v>348</v>
      </c>
      <c r="F218" s="110">
        <v>1</v>
      </c>
      <c r="G218" s="109">
        <f>[1]DISTRITOS!A218</f>
        <v>217</v>
      </c>
      <c r="H218" s="109" t="s">
        <v>661</v>
      </c>
      <c r="J218" s="9" t="s">
        <v>208</v>
      </c>
      <c r="K218" s="1" t="s">
        <v>332</v>
      </c>
      <c r="L218" s="9" t="s">
        <v>13</v>
      </c>
      <c r="P218" s="110">
        <v>1</v>
      </c>
      <c r="T218" s="63" t="s">
        <v>351</v>
      </c>
      <c r="U218" s="63" t="s">
        <v>352</v>
      </c>
      <c r="V218" s="63" t="str">
        <f t="shared" si="15"/>
        <v>SESORI-1219-NORTE</v>
      </c>
      <c r="W218" s="64" t="str">
        <f t="shared" si="16"/>
        <v>1219-121079-001-1</v>
      </c>
      <c r="X218" s="15" t="str">
        <f t="shared" si="17"/>
        <v>SESORI NORTE</v>
      </c>
      <c r="Y218" s="1" t="str">
        <f t="shared" si="18"/>
        <v>1219-121079-001-1 SESORI NORTE</v>
      </c>
      <c r="Z218" s="1" t="str">
        <f t="shared" si="19"/>
        <v>1219 SESORI-NORTE</v>
      </c>
    </row>
    <row r="219" spans="1:29" ht="32" x14ac:dyDescent="0.4">
      <c r="B219" s="109" t="s">
        <v>636</v>
      </c>
      <c r="C219" s="109" t="s">
        <v>353</v>
      </c>
      <c r="D219" s="109" t="s">
        <v>354</v>
      </c>
      <c r="E219" s="109" t="s">
        <v>348</v>
      </c>
      <c r="F219" s="110">
        <v>2</v>
      </c>
      <c r="G219" s="109">
        <f>[1]DISTRITOS!A219</f>
        <v>218</v>
      </c>
      <c r="H219" s="109" t="s">
        <v>662</v>
      </c>
      <c r="J219" s="9" t="s">
        <v>216</v>
      </c>
      <c r="K219" s="61" t="s">
        <v>329</v>
      </c>
      <c r="L219" s="9" t="s">
        <v>13</v>
      </c>
      <c r="M219" s="110">
        <v>1</v>
      </c>
      <c r="T219" s="63" t="s">
        <v>351</v>
      </c>
      <c r="U219" s="63" t="s">
        <v>352</v>
      </c>
      <c r="V219" s="63" t="str">
        <f t="shared" si="15"/>
        <v>ULUAZAPA-1220-CENTRO</v>
      </c>
      <c r="W219" s="64" t="str">
        <f t="shared" si="16"/>
        <v>1220-121079-001-2</v>
      </c>
      <c r="X219" s="15" t="str">
        <f t="shared" si="17"/>
        <v>ULUAZAPA CENTRO</v>
      </c>
      <c r="Y219" s="1" t="str">
        <f t="shared" si="18"/>
        <v>1220-121079-001-2 ULUAZAPA CENTRO</v>
      </c>
      <c r="Z219" s="1" t="str">
        <f t="shared" si="19"/>
        <v>1220 ULUAZAPA-CENTRO</v>
      </c>
    </row>
    <row r="220" spans="1:29" x14ac:dyDescent="0.4">
      <c r="A220" s="8" t="s">
        <v>356</v>
      </c>
      <c r="B220" s="113" t="s">
        <v>576</v>
      </c>
      <c r="C220" s="113" t="s">
        <v>353</v>
      </c>
      <c r="D220" s="113" t="s">
        <v>354</v>
      </c>
      <c r="E220" s="113" t="s">
        <v>348</v>
      </c>
      <c r="F220" s="114">
        <v>0</v>
      </c>
      <c r="G220" s="113">
        <f>[1]DISTRITOS!A220</f>
        <v>219</v>
      </c>
      <c r="H220" s="113" t="s">
        <v>663</v>
      </c>
      <c r="I220" s="8"/>
      <c r="J220" s="8" t="s">
        <v>226</v>
      </c>
      <c r="K220" s="1" t="s">
        <v>332</v>
      </c>
      <c r="L220" s="8" t="s">
        <v>664</v>
      </c>
      <c r="M220" s="114"/>
      <c r="N220" s="114"/>
      <c r="O220" s="114"/>
      <c r="P220" s="114">
        <v>1</v>
      </c>
      <c r="Q220" s="114"/>
      <c r="R220" s="114"/>
      <c r="S220" s="8"/>
      <c r="T220" s="63" t="s">
        <v>351</v>
      </c>
      <c r="U220" s="63" t="s">
        <v>352</v>
      </c>
      <c r="V220" s="63" t="str">
        <f t="shared" si="15"/>
        <v>ARAMBALA-1301-NORTE</v>
      </c>
      <c r="W220" s="64" t="str">
        <f t="shared" si="16"/>
        <v>1301-131079-001-0</v>
      </c>
      <c r="X220" s="15" t="str">
        <f t="shared" si="17"/>
        <v>ARAMBALA NORTE</v>
      </c>
      <c r="Y220" s="1" t="str">
        <f t="shared" si="18"/>
        <v>1301-131079-001-0 ARAMBALA NORTE</v>
      </c>
      <c r="Z220" s="1" t="str">
        <f t="shared" si="19"/>
        <v>1301 ARAMBALA-NORTE</v>
      </c>
      <c r="AA220" s="115">
        <v>735.15</v>
      </c>
      <c r="AB220" s="116">
        <v>55012</v>
      </c>
      <c r="AC220" s="115">
        <v>74.83</v>
      </c>
    </row>
    <row r="221" spans="1:29" x14ac:dyDescent="0.4">
      <c r="B221" s="113" t="s">
        <v>576</v>
      </c>
      <c r="C221" s="113" t="s">
        <v>353</v>
      </c>
      <c r="D221" s="113" t="s">
        <v>354</v>
      </c>
      <c r="E221" s="113" t="s">
        <v>348</v>
      </c>
      <c r="F221" s="114">
        <v>0</v>
      </c>
      <c r="G221" s="113">
        <f>[1]DISTRITOS!A221</f>
        <v>220</v>
      </c>
      <c r="H221" s="113" t="s">
        <v>665</v>
      </c>
      <c r="J221" s="8" t="s">
        <v>227</v>
      </c>
      <c r="K221" s="1" t="s">
        <v>332</v>
      </c>
      <c r="L221" s="8" t="s">
        <v>664</v>
      </c>
      <c r="P221" s="114">
        <v>1</v>
      </c>
      <c r="T221" s="63" t="s">
        <v>351</v>
      </c>
      <c r="U221" s="63" t="s">
        <v>352</v>
      </c>
      <c r="V221" s="63" t="str">
        <f t="shared" si="15"/>
        <v>CACAOPERA-1302-NORTE</v>
      </c>
      <c r="W221" s="64" t="str">
        <f t="shared" si="16"/>
        <v>1302-131079-001-0</v>
      </c>
      <c r="X221" s="15" t="str">
        <f t="shared" si="17"/>
        <v>CACAOPERA NORTE</v>
      </c>
      <c r="Y221" s="1" t="str">
        <f t="shared" si="18"/>
        <v>1302-131079-001-0 CACAOPERA NORTE</v>
      </c>
      <c r="Z221" s="1" t="str">
        <f t="shared" si="19"/>
        <v>1302 CACAOPERA-NORTE</v>
      </c>
    </row>
    <row r="222" spans="1:29" x14ac:dyDescent="0.4">
      <c r="B222" s="113" t="s">
        <v>576</v>
      </c>
      <c r="C222" s="113" t="s">
        <v>353</v>
      </c>
      <c r="D222" s="113" t="s">
        <v>354</v>
      </c>
      <c r="E222" s="113" t="s">
        <v>348</v>
      </c>
      <c r="F222" s="114">
        <v>0</v>
      </c>
      <c r="G222" s="113">
        <f>[1]DISTRITOS!A222</f>
        <v>221</v>
      </c>
      <c r="H222" s="113" t="s">
        <v>666</v>
      </c>
      <c r="J222" s="8" t="s">
        <v>228</v>
      </c>
      <c r="K222" s="1" t="s">
        <v>332</v>
      </c>
      <c r="L222" s="8" t="s">
        <v>664</v>
      </c>
      <c r="P222" s="114">
        <v>1</v>
      </c>
      <c r="T222" s="63" t="s">
        <v>351</v>
      </c>
      <c r="U222" s="63" t="s">
        <v>352</v>
      </c>
      <c r="V222" s="63" t="str">
        <f t="shared" si="15"/>
        <v>CORINTO-1303-NORTE</v>
      </c>
      <c r="W222" s="64" t="str">
        <f t="shared" si="16"/>
        <v>1303-131079-001-0</v>
      </c>
      <c r="X222" s="15" t="str">
        <f t="shared" si="17"/>
        <v>CORINTO NORTE</v>
      </c>
      <c r="Y222" s="1" t="str">
        <f t="shared" si="18"/>
        <v>1303-131079-001-0 CORINTO NORTE</v>
      </c>
      <c r="Z222" s="1" t="str">
        <f t="shared" si="19"/>
        <v>1303 CORINTO-NORTE</v>
      </c>
    </row>
    <row r="223" spans="1:29" x14ac:dyDescent="0.4">
      <c r="A223" s="8" t="s">
        <v>361</v>
      </c>
      <c r="B223" s="113" t="s">
        <v>576</v>
      </c>
      <c r="C223" s="113" t="s">
        <v>353</v>
      </c>
      <c r="D223" s="113" t="s">
        <v>354</v>
      </c>
      <c r="E223" s="113" t="s">
        <v>348</v>
      </c>
      <c r="F223" s="114">
        <v>0</v>
      </c>
      <c r="G223" s="113">
        <f>[1]DISTRITOS!A223</f>
        <v>222</v>
      </c>
      <c r="H223" s="113" t="s">
        <v>667</v>
      </c>
      <c r="J223" s="8" t="s">
        <v>234</v>
      </c>
      <c r="K223" s="1" t="s">
        <v>334</v>
      </c>
      <c r="L223" s="8" t="s">
        <v>664</v>
      </c>
      <c r="R223" s="114">
        <v>1</v>
      </c>
      <c r="T223" s="63" t="s">
        <v>351</v>
      </c>
      <c r="U223" s="63" t="s">
        <v>352</v>
      </c>
      <c r="V223" s="63" t="str">
        <f t="shared" si="15"/>
        <v>CHILANGA-1304-SUR</v>
      </c>
      <c r="W223" s="64" t="str">
        <f t="shared" si="16"/>
        <v>1304-131079-001-0</v>
      </c>
      <c r="X223" s="15" t="str">
        <f t="shared" si="17"/>
        <v>CHILANGA SUR</v>
      </c>
      <c r="Y223" s="1" t="str">
        <f t="shared" si="18"/>
        <v>1304-131079-001-0 CHILANGA SUR</v>
      </c>
      <c r="Z223" s="1" t="str">
        <f t="shared" si="19"/>
        <v>1304 CHILANGA-SUR</v>
      </c>
      <c r="AA223" s="115">
        <v>712.3</v>
      </c>
      <c r="AB223" s="116">
        <v>123236</v>
      </c>
      <c r="AC223" s="115">
        <v>173.01</v>
      </c>
    </row>
    <row r="224" spans="1:29" x14ac:dyDescent="0.4">
      <c r="B224" s="113" t="s">
        <v>576</v>
      </c>
      <c r="C224" s="113" t="s">
        <v>353</v>
      </c>
      <c r="D224" s="113" t="s">
        <v>354</v>
      </c>
      <c r="E224" s="113" t="s">
        <v>348</v>
      </c>
      <c r="F224" s="114">
        <v>0</v>
      </c>
      <c r="G224" s="113">
        <f>[1]DISTRITOS!A224</f>
        <v>223</v>
      </c>
      <c r="H224" s="113" t="s">
        <v>668</v>
      </c>
      <c r="J224" s="8" t="s">
        <v>669</v>
      </c>
      <c r="K224" s="1" t="s">
        <v>334</v>
      </c>
      <c r="L224" s="8" t="s">
        <v>664</v>
      </c>
      <c r="R224" s="114">
        <v>1</v>
      </c>
      <c r="T224" s="63" t="s">
        <v>351</v>
      </c>
      <c r="U224" s="63" t="s">
        <v>352</v>
      </c>
      <c r="V224" s="63" t="str">
        <f t="shared" si="15"/>
        <v>DELICIAS DE CONCEPCION -1305-SUR</v>
      </c>
      <c r="W224" s="64" t="str">
        <f t="shared" si="16"/>
        <v>1305-131079-001-0</v>
      </c>
      <c r="X224" s="15" t="str">
        <f t="shared" si="17"/>
        <v>DELICIAS DE CONCEPCION  SUR</v>
      </c>
      <c r="Y224" s="1" t="str">
        <f t="shared" si="18"/>
        <v>1305-131079-001-0 DELICIAS DE CONCEPCION  SUR</v>
      </c>
      <c r="Z224" s="1" t="str">
        <f t="shared" si="19"/>
        <v>1305 DELICIAS DE CONCEPCION -SUR</v>
      </c>
    </row>
    <row r="225" spans="2:26" x14ac:dyDescent="0.4">
      <c r="B225" s="113" t="s">
        <v>576</v>
      </c>
      <c r="C225" s="113" t="s">
        <v>353</v>
      </c>
      <c r="D225" s="113" t="s">
        <v>354</v>
      </c>
      <c r="E225" s="113" t="s">
        <v>348</v>
      </c>
      <c r="F225" s="114">
        <v>0</v>
      </c>
      <c r="G225" s="113">
        <f>[1]DISTRITOS!A225</f>
        <v>224</v>
      </c>
      <c r="H225" s="113" t="s">
        <v>670</v>
      </c>
      <c r="J225" s="8" t="s">
        <v>236</v>
      </c>
      <c r="K225" s="1" t="s">
        <v>334</v>
      </c>
      <c r="L225" s="8" t="s">
        <v>664</v>
      </c>
      <c r="R225" s="114">
        <v>1</v>
      </c>
      <c r="T225" s="63" t="s">
        <v>351</v>
      </c>
      <c r="U225" s="63" t="s">
        <v>352</v>
      </c>
      <c r="V225" s="63" t="str">
        <f t="shared" si="15"/>
        <v>EL DIVISADERO-1306-SUR</v>
      </c>
      <c r="W225" s="64" t="str">
        <f t="shared" si="16"/>
        <v>1306-131079-001-0</v>
      </c>
      <c r="X225" s="15" t="str">
        <f t="shared" si="17"/>
        <v>EL DIVISADERO SUR</v>
      </c>
      <c r="Y225" s="1" t="str">
        <f t="shared" si="18"/>
        <v>1306-131079-001-0 EL DIVISADERO SUR</v>
      </c>
      <c r="Z225" s="1" t="str">
        <f t="shared" si="19"/>
        <v>1306 EL DIVISADERO-SUR</v>
      </c>
    </row>
    <row r="226" spans="2:26" x14ac:dyDescent="0.4">
      <c r="B226" s="113" t="s">
        <v>576</v>
      </c>
      <c r="C226" s="113" t="s">
        <v>353</v>
      </c>
      <c r="D226" s="113" t="s">
        <v>354</v>
      </c>
      <c r="E226" s="113" t="s">
        <v>348</v>
      </c>
      <c r="F226" s="114">
        <v>0</v>
      </c>
      <c r="G226" s="113">
        <f>[1]DISTRITOS!A226</f>
        <v>225</v>
      </c>
      <c r="H226" s="113" t="s">
        <v>671</v>
      </c>
      <c r="J226" s="8" t="s">
        <v>672</v>
      </c>
      <c r="K226" s="1" t="s">
        <v>332</v>
      </c>
      <c r="L226" s="8" t="s">
        <v>664</v>
      </c>
      <c r="P226" s="114">
        <v>1</v>
      </c>
      <c r="T226" s="63" t="s">
        <v>351</v>
      </c>
      <c r="U226" s="63" t="s">
        <v>352</v>
      </c>
      <c r="V226" s="63" t="str">
        <f t="shared" si="15"/>
        <v>EL ROSARIO, MORAZAN-1307-NORTE</v>
      </c>
      <c r="W226" s="64" t="str">
        <f t="shared" si="16"/>
        <v>1307-131079-001-0</v>
      </c>
      <c r="X226" s="15" t="str">
        <f t="shared" si="17"/>
        <v>EL ROSARIO, MORAZAN NORTE</v>
      </c>
      <c r="Y226" s="1" t="str">
        <f t="shared" si="18"/>
        <v>1307-131079-001-0 EL ROSARIO, MORAZAN NORTE</v>
      </c>
      <c r="Z226" s="1" t="str">
        <f t="shared" si="19"/>
        <v>1307 EL ROSARIO, MORAZAN-NORTE</v>
      </c>
    </row>
    <row r="227" spans="2:26" x14ac:dyDescent="0.4">
      <c r="B227" s="113" t="s">
        <v>576</v>
      </c>
      <c r="C227" s="113" t="s">
        <v>353</v>
      </c>
      <c r="D227" s="113" t="s">
        <v>354</v>
      </c>
      <c r="E227" s="113" t="s">
        <v>348</v>
      </c>
      <c r="F227" s="114">
        <v>0</v>
      </c>
      <c r="G227" s="113">
        <f>[1]DISTRITOS!A227</f>
        <v>226</v>
      </c>
      <c r="H227" s="113" t="s">
        <v>673</v>
      </c>
      <c r="J227" s="8" t="s">
        <v>237</v>
      </c>
      <c r="K227" s="1" t="s">
        <v>334</v>
      </c>
      <c r="L227" s="8" t="s">
        <v>664</v>
      </c>
      <c r="R227" s="114">
        <v>1</v>
      </c>
      <c r="T227" s="63" t="s">
        <v>351</v>
      </c>
      <c r="U227" s="63" t="s">
        <v>352</v>
      </c>
      <c r="V227" s="63" t="str">
        <f t="shared" si="15"/>
        <v>GUALOCOCTI-1308-SUR</v>
      </c>
      <c r="W227" s="64" t="str">
        <f t="shared" si="16"/>
        <v>1308-131079-001-0</v>
      </c>
      <c r="X227" s="15" t="str">
        <f t="shared" si="17"/>
        <v>GUALOCOCTI SUR</v>
      </c>
      <c r="Y227" s="1" t="str">
        <f t="shared" si="18"/>
        <v>1308-131079-001-0 GUALOCOCTI SUR</v>
      </c>
      <c r="Z227" s="1" t="str">
        <f t="shared" si="19"/>
        <v>1308 GUALOCOCTI-SUR</v>
      </c>
    </row>
    <row r="228" spans="2:26" x14ac:dyDescent="0.4">
      <c r="B228" s="113" t="s">
        <v>576</v>
      </c>
      <c r="C228" s="113" t="s">
        <v>353</v>
      </c>
      <c r="D228" s="113" t="s">
        <v>354</v>
      </c>
      <c r="E228" s="113" t="s">
        <v>348</v>
      </c>
      <c r="F228" s="114">
        <v>0</v>
      </c>
      <c r="G228" s="113">
        <f>[1]DISTRITOS!A228</f>
        <v>227</v>
      </c>
      <c r="H228" s="113" t="s">
        <v>674</v>
      </c>
      <c r="J228" s="8" t="s">
        <v>238</v>
      </c>
      <c r="K228" s="1" t="s">
        <v>334</v>
      </c>
      <c r="L228" s="8" t="s">
        <v>664</v>
      </c>
      <c r="R228" s="114">
        <v>1</v>
      </c>
      <c r="T228" s="63" t="s">
        <v>351</v>
      </c>
      <c r="U228" s="63" t="s">
        <v>352</v>
      </c>
      <c r="V228" s="63" t="str">
        <f t="shared" si="15"/>
        <v>GUATAJIAGUA-1309-SUR</v>
      </c>
      <c r="W228" s="64" t="str">
        <f t="shared" si="16"/>
        <v>1309-131079-001-0</v>
      </c>
      <c r="X228" s="15" t="str">
        <f t="shared" si="17"/>
        <v>GUATAJIAGUA SUR</v>
      </c>
      <c r="Y228" s="1" t="str">
        <f t="shared" si="18"/>
        <v>1309-131079-001-0 GUATAJIAGUA SUR</v>
      </c>
      <c r="Z228" s="1" t="str">
        <f t="shared" si="19"/>
        <v>1309 GUATAJIAGUA-SUR</v>
      </c>
    </row>
    <row r="229" spans="2:26" x14ac:dyDescent="0.4">
      <c r="B229" s="113" t="s">
        <v>576</v>
      </c>
      <c r="C229" s="113" t="s">
        <v>353</v>
      </c>
      <c r="D229" s="113" t="s">
        <v>354</v>
      </c>
      <c r="E229" s="113" t="s">
        <v>348</v>
      </c>
      <c r="F229" s="114">
        <v>1</v>
      </c>
      <c r="G229" s="113">
        <f>[1]DISTRITOS!A229</f>
        <v>228</v>
      </c>
      <c r="H229" s="113" t="s">
        <v>675</v>
      </c>
      <c r="J229" s="8" t="s">
        <v>229</v>
      </c>
      <c r="K229" s="1" t="s">
        <v>332</v>
      </c>
      <c r="L229" s="8" t="s">
        <v>664</v>
      </c>
      <c r="P229" s="114">
        <v>1</v>
      </c>
      <c r="T229" s="63" t="s">
        <v>351</v>
      </c>
      <c r="U229" s="63" t="s">
        <v>352</v>
      </c>
      <c r="V229" s="63" t="str">
        <f t="shared" si="15"/>
        <v>JOATECA-1310-NORTE</v>
      </c>
      <c r="W229" s="64" t="str">
        <f t="shared" si="16"/>
        <v>1310-131079-001-1</v>
      </c>
      <c r="X229" s="15" t="str">
        <f t="shared" si="17"/>
        <v>JOATECA NORTE</v>
      </c>
      <c r="Y229" s="1" t="str">
        <f t="shared" si="18"/>
        <v>1310-131079-001-1 JOATECA NORTE</v>
      </c>
      <c r="Z229" s="1" t="str">
        <f t="shared" si="19"/>
        <v>1310 JOATECA-NORTE</v>
      </c>
    </row>
    <row r="230" spans="2:26" x14ac:dyDescent="0.4">
      <c r="B230" s="113" t="s">
        <v>676</v>
      </c>
      <c r="C230" s="113" t="s">
        <v>511</v>
      </c>
      <c r="D230" s="113" t="s">
        <v>677</v>
      </c>
      <c r="E230" s="113" t="s">
        <v>348</v>
      </c>
      <c r="F230" s="114">
        <v>6</v>
      </c>
      <c r="G230" s="113">
        <f>[1]DISTRITOS!A230</f>
        <v>229</v>
      </c>
      <c r="H230" s="113" t="s">
        <v>678</v>
      </c>
      <c r="J230" s="8" t="s">
        <v>230</v>
      </c>
      <c r="K230" s="1" t="s">
        <v>332</v>
      </c>
      <c r="L230" s="8" t="s">
        <v>664</v>
      </c>
      <c r="P230" s="114">
        <v>1</v>
      </c>
      <c r="T230" s="63" t="s">
        <v>351</v>
      </c>
      <c r="U230" s="63" t="s">
        <v>352</v>
      </c>
      <c r="V230" s="63" t="str">
        <f t="shared" si="15"/>
        <v>JOCOAITIQUE-1311-NORTE</v>
      </c>
      <c r="W230" s="64" t="str">
        <f t="shared" si="16"/>
        <v>1311-150855-001-6</v>
      </c>
      <c r="X230" s="15" t="str">
        <f t="shared" si="17"/>
        <v>JOCOAITIQUE NORTE</v>
      </c>
      <c r="Y230" s="1" t="str">
        <f t="shared" si="18"/>
        <v>1311-150855-001-6 JOCOAITIQUE NORTE</v>
      </c>
      <c r="Z230" s="1" t="str">
        <f t="shared" si="19"/>
        <v>1311 JOCOAITIQUE-NORTE</v>
      </c>
    </row>
    <row r="231" spans="2:26" x14ac:dyDescent="0.4">
      <c r="B231" s="113" t="s">
        <v>576</v>
      </c>
      <c r="C231" s="113" t="s">
        <v>353</v>
      </c>
      <c r="D231" s="113" t="s">
        <v>354</v>
      </c>
      <c r="E231" s="113" t="s">
        <v>348</v>
      </c>
      <c r="F231" s="114">
        <v>1</v>
      </c>
      <c r="G231" s="113">
        <f>[1]DISTRITOS!A231</f>
        <v>230</v>
      </c>
      <c r="H231" s="113" t="s">
        <v>679</v>
      </c>
      <c r="J231" s="8" t="s">
        <v>239</v>
      </c>
      <c r="K231" s="1" t="s">
        <v>334</v>
      </c>
      <c r="L231" s="8" t="s">
        <v>664</v>
      </c>
      <c r="R231" s="114">
        <v>1</v>
      </c>
      <c r="T231" s="63" t="s">
        <v>351</v>
      </c>
      <c r="U231" s="63" t="s">
        <v>352</v>
      </c>
      <c r="V231" s="63" t="str">
        <f t="shared" si="15"/>
        <v>JOCORO-1312-SUR</v>
      </c>
      <c r="W231" s="64" t="str">
        <f t="shared" si="16"/>
        <v>1312-131079-001-1</v>
      </c>
      <c r="X231" s="15" t="str">
        <f t="shared" si="17"/>
        <v>JOCORO SUR</v>
      </c>
      <c r="Y231" s="1" t="str">
        <f t="shared" si="18"/>
        <v>1312-131079-001-1 JOCORO SUR</v>
      </c>
      <c r="Z231" s="1" t="str">
        <f t="shared" si="19"/>
        <v>1312 JOCORO-SUR</v>
      </c>
    </row>
    <row r="232" spans="2:26" x14ac:dyDescent="0.4">
      <c r="B232" s="113" t="s">
        <v>576</v>
      </c>
      <c r="C232" s="113" t="s">
        <v>353</v>
      </c>
      <c r="D232" s="113" t="s">
        <v>354</v>
      </c>
      <c r="E232" s="113" t="s">
        <v>348</v>
      </c>
      <c r="F232" s="114">
        <v>1</v>
      </c>
      <c r="G232" s="113">
        <f>[1]DISTRITOS!A232</f>
        <v>231</v>
      </c>
      <c r="H232" s="113" t="s">
        <v>680</v>
      </c>
      <c r="J232" s="8" t="s">
        <v>240</v>
      </c>
      <c r="K232" s="1" t="s">
        <v>334</v>
      </c>
      <c r="L232" s="8" t="s">
        <v>664</v>
      </c>
      <c r="R232" s="114">
        <v>1</v>
      </c>
      <c r="T232" s="63" t="s">
        <v>351</v>
      </c>
      <c r="U232" s="63" t="s">
        <v>352</v>
      </c>
      <c r="V232" s="63" t="str">
        <f t="shared" si="15"/>
        <v>LOLOTIQUILLO-1313-SUR</v>
      </c>
      <c r="W232" s="64" t="str">
        <f t="shared" si="16"/>
        <v>1313-131079-001-1</v>
      </c>
      <c r="X232" s="15" t="str">
        <f t="shared" si="17"/>
        <v>LOLOTIQUILLO SUR</v>
      </c>
      <c r="Y232" s="1" t="str">
        <f t="shared" si="18"/>
        <v>1313-131079-001-1 LOLOTIQUILLO SUR</v>
      </c>
      <c r="Z232" s="1" t="str">
        <f t="shared" si="19"/>
        <v>1313 LOLOTIQUILLO-SUR</v>
      </c>
    </row>
    <row r="233" spans="2:26" x14ac:dyDescent="0.4">
      <c r="B233" s="113" t="s">
        <v>576</v>
      </c>
      <c r="C233" s="113" t="s">
        <v>353</v>
      </c>
      <c r="D233" s="113" t="s">
        <v>354</v>
      </c>
      <c r="E233" s="113" t="s">
        <v>348</v>
      </c>
      <c r="F233" s="114">
        <v>1</v>
      </c>
      <c r="G233" s="113">
        <f>[1]DISTRITOS!A233</f>
        <v>232</v>
      </c>
      <c r="H233" s="113" t="s">
        <v>681</v>
      </c>
      <c r="J233" s="8" t="s">
        <v>231</v>
      </c>
      <c r="K233" s="1" t="s">
        <v>332</v>
      </c>
      <c r="L233" s="8" t="s">
        <v>664</v>
      </c>
      <c r="P233" s="114">
        <v>1</v>
      </c>
      <c r="T233" s="63" t="s">
        <v>351</v>
      </c>
      <c r="U233" s="63" t="s">
        <v>352</v>
      </c>
      <c r="V233" s="63" t="str">
        <f t="shared" si="15"/>
        <v>MEANGUERA-1314-NORTE</v>
      </c>
      <c r="W233" s="64" t="str">
        <f t="shared" si="16"/>
        <v>1314-131079-001-1</v>
      </c>
      <c r="X233" s="15" t="str">
        <f t="shared" si="17"/>
        <v>MEANGUERA NORTE</v>
      </c>
      <c r="Y233" s="1" t="str">
        <f t="shared" si="18"/>
        <v>1314-131079-001-1 MEANGUERA NORTE</v>
      </c>
      <c r="Z233" s="1" t="str">
        <f t="shared" si="19"/>
        <v>1314 MEANGUERA-NORTE</v>
      </c>
    </row>
    <row r="234" spans="2:26" x14ac:dyDescent="0.4">
      <c r="B234" s="113" t="s">
        <v>576</v>
      </c>
      <c r="C234" s="113" t="s">
        <v>353</v>
      </c>
      <c r="D234" s="113" t="s">
        <v>354</v>
      </c>
      <c r="E234" s="113" t="s">
        <v>348</v>
      </c>
      <c r="F234" s="114">
        <v>1</v>
      </c>
      <c r="G234" s="113">
        <f>[1]DISTRITOS!A234</f>
        <v>233</v>
      </c>
      <c r="H234" s="113" t="s">
        <v>682</v>
      </c>
      <c r="J234" s="8" t="s">
        <v>241</v>
      </c>
      <c r="K234" s="1" t="s">
        <v>334</v>
      </c>
      <c r="L234" s="8" t="s">
        <v>664</v>
      </c>
      <c r="R234" s="114">
        <v>1</v>
      </c>
      <c r="T234" s="63" t="s">
        <v>351</v>
      </c>
      <c r="U234" s="63" t="s">
        <v>352</v>
      </c>
      <c r="V234" s="63" t="str">
        <f t="shared" si="15"/>
        <v>OSICALA-1315-SUR</v>
      </c>
      <c r="W234" s="64" t="str">
        <f t="shared" si="16"/>
        <v>1315-131079-001-1</v>
      </c>
      <c r="X234" s="15" t="str">
        <f t="shared" si="17"/>
        <v>OSICALA SUR</v>
      </c>
      <c r="Y234" s="1" t="str">
        <f t="shared" si="18"/>
        <v>1315-131079-001-1 OSICALA SUR</v>
      </c>
      <c r="Z234" s="1" t="str">
        <f t="shared" si="19"/>
        <v>1315 OSICALA-SUR</v>
      </c>
    </row>
    <row r="235" spans="2:26" x14ac:dyDescent="0.4">
      <c r="B235" s="113" t="s">
        <v>576</v>
      </c>
      <c r="C235" s="113" t="s">
        <v>353</v>
      </c>
      <c r="D235" s="113" t="s">
        <v>354</v>
      </c>
      <c r="E235" s="113" t="s">
        <v>348</v>
      </c>
      <c r="F235" s="114">
        <v>1</v>
      </c>
      <c r="G235" s="113">
        <f>[1]DISTRITOS!A235</f>
        <v>234</v>
      </c>
      <c r="H235" s="113" t="s">
        <v>683</v>
      </c>
      <c r="J235" s="8" t="s">
        <v>684</v>
      </c>
      <c r="K235" s="1" t="s">
        <v>332</v>
      </c>
      <c r="L235" s="8" t="s">
        <v>664</v>
      </c>
      <c r="P235" s="114">
        <v>1</v>
      </c>
      <c r="T235" s="63" t="s">
        <v>351</v>
      </c>
      <c r="U235" s="63" t="s">
        <v>352</v>
      </c>
      <c r="V235" s="63" t="str">
        <f t="shared" si="15"/>
        <v>PERQUIN-1316-NORTE</v>
      </c>
      <c r="W235" s="64" t="str">
        <f t="shared" si="16"/>
        <v>1316-131079-001-1</v>
      </c>
      <c r="X235" s="15" t="str">
        <f t="shared" si="17"/>
        <v>PERQUIN NORTE</v>
      </c>
      <c r="Y235" s="1" t="str">
        <f t="shared" si="18"/>
        <v>1316-131079-001-1 PERQUIN NORTE</v>
      </c>
      <c r="Z235" s="1" t="str">
        <f t="shared" si="19"/>
        <v>1316 PERQUIN-NORTE</v>
      </c>
    </row>
    <row r="236" spans="2:26" x14ac:dyDescent="0.4">
      <c r="B236" s="113" t="s">
        <v>576</v>
      </c>
      <c r="C236" s="113" t="s">
        <v>353</v>
      </c>
      <c r="D236" s="113" t="s">
        <v>354</v>
      </c>
      <c r="E236" s="113" t="s">
        <v>348</v>
      </c>
      <c r="F236" s="114">
        <v>1</v>
      </c>
      <c r="G236" s="113">
        <f>[1]DISTRITOS!A236</f>
        <v>235</v>
      </c>
      <c r="H236" s="113" t="s">
        <v>685</v>
      </c>
      <c r="J236" s="8" t="s">
        <v>242</v>
      </c>
      <c r="K236" s="1" t="s">
        <v>334</v>
      </c>
      <c r="L236" s="8" t="s">
        <v>664</v>
      </c>
      <c r="R236" s="114">
        <v>1</v>
      </c>
      <c r="T236" s="63" t="s">
        <v>351</v>
      </c>
      <c r="U236" s="63" t="s">
        <v>352</v>
      </c>
      <c r="V236" s="63" t="str">
        <f t="shared" si="15"/>
        <v>SAN CARLOS-1317-SUR</v>
      </c>
      <c r="W236" s="64" t="str">
        <f t="shared" si="16"/>
        <v>1317-131079-001-1</v>
      </c>
      <c r="X236" s="15" t="str">
        <f t="shared" si="17"/>
        <v>SAN CARLOS SUR</v>
      </c>
      <c r="Y236" s="1" t="str">
        <f t="shared" si="18"/>
        <v>1317-131079-001-1 SAN CARLOS SUR</v>
      </c>
      <c r="Z236" s="1" t="str">
        <f t="shared" si="19"/>
        <v>1317 SAN CARLOS-SUR</v>
      </c>
    </row>
    <row r="237" spans="2:26" x14ac:dyDescent="0.4">
      <c r="B237" s="113" t="s">
        <v>576</v>
      </c>
      <c r="C237" s="113" t="s">
        <v>353</v>
      </c>
      <c r="D237" s="113" t="s">
        <v>354</v>
      </c>
      <c r="E237" s="113" t="s">
        <v>348</v>
      </c>
      <c r="F237" s="114">
        <v>1</v>
      </c>
      <c r="G237" s="113">
        <f>[1]DISTRITOS!A237</f>
        <v>236</v>
      </c>
      <c r="H237" s="113" t="s">
        <v>686</v>
      </c>
      <c r="J237" s="8" t="s">
        <v>687</v>
      </c>
      <c r="K237" s="1" t="s">
        <v>332</v>
      </c>
      <c r="L237" s="8" t="s">
        <v>664</v>
      </c>
      <c r="P237" s="114">
        <v>1</v>
      </c>
      <c r="T237" s="63" t="s">
        <v>351</v>
      </c>
      <c r="U237" s="63" t="s">
        <v>352</v>
      </c>
      <c r="V237" s="63" t="str">
        <f t="shared" si="15"/>
        <v>SAN FERNANDO MORAZAN-1318-NORTE</v>
      </c>
      <c r="W237" s="64" t="str">
        <f t="shared" si="16"/>
        <v>1318-131079-001-1</v>
      </c>
      <c r="X237" s="15" t="str">
        <f t="shared" si="17"/>
        <v>SAN FERNANDO MORAZAN NORTE</v>
      </c>
      <c r="Y237" s="1" t="str">
        <f t="shared" si="18"/>
        <v>1318-131079-001-1 SAN FERNANDO MORAZAN NORTE</v>
      </c>
      <c r="Z237" s="1" t="str">
        <f t="shared" si="19"/>
        <v>1318 SAN FERNANDO MORAZAN-NORTE</v>
      </c>
    </row>
    <row r="238" spans="2:26" x14ac:dyDescent="0.4">
      <c r="B238" s="113" t="s">
        <v>345</v>
      </c>
      <c r="C238" s="113" t="s">
        <v>346</v>
      </c>
      <c r="D238" s="113" t="s">
        <v>347</v>
      </c>
      <c r="E238" s="113" t="s">
        <v>348</v>
      </c>
      <c r="F238" s="114">
        <v>8</v>
      </c>
      <c r="G238" s="113">
        <f>[1]DISTRITOS!A238</f>
        <v>237</v>
      </c>
      <c r="H238" s="113" t="s">
        <v>688</v>
      </c>
      <c r="I238" s="1">
        <f>[2]DEPARTAMENTOS!A14</f>
        <v>13</v>
      </c>
      <c r="J238" s="8" t="s">
        <v>243</v>
      </c>
      <c r="K238" s="1" t="s">
        <v>334</v>
      </c>
      <c r="L238" s="8" t="s">
        <v>664</v>
      </c>
      <c r="R238" s="114">
        <v>1</v>
      </c>
      <c r="T238" s="63" t="s">
        <v>351</v>
      </c>
      <c r="U238" s="63" t="s">
        <v>352</v>
      </c>
      <c r="V238" s="63" t="str">
        <f t="shared" si="15"/>
        <v>SAN FRANCISCO GOTERA-1319-SUR</v>
      </c>
      <c r="W238" s="64" t="str">
        <f t="shared" si="16"/>
        <v>1319-010611-001-8</v>
      </c>
      <c r="X238" s="15" t="str">
        <f t="shared" si="17"/>
        <v>SAN FRANCISCO GOTERA SUR</v>
      </c>
      <c r="Y238" s="1" t="str">
        <f t="shared" si="18"/>
        <v>1319-010611-001-8 SAN FRANCISCO GOTERA SUR</v>
      </c>
      <c r="Z238" s="1" t="str">
        <f t="shared" si="19"/>
        <v>1319 SAN FRANCISCO GOTERA-SUR</v>
      </c>
    </row>
    <row r="239" spans="2:26" x14ac:dyDescent="0.4">
      <c r="B239" s="113" t="s">
        <v>576</v>
      </c>
      <c r="C239" s="113" t="s">
        <v>353</v>
      </c>
      <c r="D239" s="113" t="s">
        <v>354</v>
      </c>
      <c r="E239" s="113" t="s">
        <v>348</v>
      </c>
      <c r="F239" s="114">
        <v>2</v>
      </c>
      <c r="G239" s="113">
        <f>[1]DISTRITOS!A239</f>
        <v>238</v>
      </c>
      <c r="H239" s="113" t="s">
        <v>689</v>
      </c>
      <c r="J239" s="8" t="s">
        <v>690</v>
      </c>
      <c r="K239" s="1" t="s">
        <v>332</v>
      </c>
      <c r="L239" s="8" t="s">
        <v>664</v>
      </c>
      <c r="P239" s="114">
        <v>1</v>
      </c>
      <c r="T239" s="63" t="s">
        <v>351</v>
      </c>
      <c r="U239" s="63" t="s">
        <v>352</v>
      </c>
      <c r="V239" s="63" t="str">
        <f t="shared" si="15"/>
        <v>SAN ISIDRO MORAZAN-1320-NORTE</v>
      </c>
      <c r="W239" s="64" t="str">
        <f t="shared" si="16"/>
        <v>1320-131079-001-2</v>
      </c>
      <c r="X239" s="15" t="str">
        <f t="shared" si="17"/>
        <v>SAN ISIDRO MORAZAN NORTE</v>
      </c>
      <c r="Y239" s="1" t="str">
        <f t="shared" si="18"/>
        <v>1320-131079-001-2 SAN ISIDRO MORAZAN NORTE</v>
      </c>
      <c r="Z239" s="1" t="str">
        <f t="shared" si="19"/>
        <v>1320 SAN ISIDRO MORAZAN-NORTE</v>
      </c>
    </row>
    <row r="240" spans="2:26" x14ac:dyDescent="0.4">
      <c r="B240" s="113" t="s">
        <v>576</v>
      </c>
      <c r="C240" s="113" t="s">
        <v>353</v>
      </c>
      <c r="D240" s="113" t="s">
        <v>354</v>
      </c>
      <c r="E240" s="113" t="s">
        <v>380</v>
      </c>
      <c r="F240" s="114">
        <v>4</v>
      </c>
      <c r="G240" s="113">
        <f>[1]DISTRITOS!A240</f>
        <v>239</v>
      </c>
      <c r="H240" s="113" t="s">
        <v>691</v>
      </c>
      <c r="J240" s="8" t="s">
        <v>692</v>
      </c>
      <c r="K240" s="1" t="s">
        <v>334</v>
      </c>
      <c r="L240" s="8" t="s">
        <v>664</v>
      </c>
      <c r="R240" s="114">
        <v>1</v>
      </c>
      <c r="T240" s="63" t="s">
        <v>351</v>
      </c>
      <c r="U240" s="63" t="s">
        <v>352</v>
      </c>
      <c r="V240" s="63" t="str">
        <f t="shared" si="15"/>
        <v>SAN SIMON-1321-SUR</v>
      </c>
      <c r="W240" s="64" t="str">
        <f t="shared" si="16"/>
        <v>1321-131079-002-4</v>
      </c>
      <c r="X240" s="15" t="str">
        <f t="shared" si="17"/>
        <v>SAN SIMON SUR</v>
      </c>
      <c r="Y240" s="1" t="str">
        <f t="shared" si="18"/>
        <v>1321-131079-002-4 SAN SIMON SUR</v>
      </c>
      <c r="Z240" s="1" t="str">
        <f t="shared" si="19"/>
        <v>1321 SAN SIMON-SUR</v>
      </c>
    </row>
    <row r="241" spans="1:29" x14ac:dyDescent="0.4">
      <c r="B241" s="113" t="s">
        <v>576</v>
      </c>
      <c r="C241" s="113" t="s">
        <v>353</v>
      </c>
      <c r="D241" s="113" t="s">
        <v>354</v>
      </c>
      <c r="E241" s="113" t="s">
        <v>348</v>
      </c>
      <c r="F241" s="114">
        <v>2</v>
      </c>
      <c r="G241" s="113">
        <f>[1]DISTRITOS!A241</f>
        <v>240</v>
      </c>
      <c r="H241" s="113" t="s">
        <v>693</v>
      </c>
      <c r="J241" s="8" t="s">
        <v>245</v>
      </c>
      <c r="K241" s="1" t="s">
        <v>334</v>
      </c>
      <c r="L241" s="8" t="s">
        <v>664</v>
      </c>
      <c r="R241" s="114">
        <v>1</v>
      </c>
      <c r="T241" s="63" t="s">
        <v>351</v>
      </c>
      <c r="U241" s="63" t="s">
        <v>352</v>
      </c>
      <c r="V241" s="63" t="str">
        <f t="shared" si="15"/>
        <v>SENSEMBRA-1322-SUR</v>
      </c>
      <c r="W241" s="64" t="str">
        <f t="shared" si="16"/>
        <v>1322-131079-001-2</v>
      </c>
      <c r="X241" s="15" t="str">
        <f t="shared" si="17"/>
        <v>SENSEMBRA SUR</v>
      </c>
      <c r="Y241" s="1" t="str">
        <f t="shared" si="18"/>
        <v>1322-131079-001-2 SENSEMBRA SUR</v>
      </c>
      <c r="Z241" s="1" t="str">
        <f t="shared" si="19"/>
        <v>1322 SENSEMBRA-SUR</v>
      </c>
    </row>
    <row r="242" spans="1:29" x14ac:dyDescent="0.4">
      <c r="B242" s="113" t="s">
        <v>576</v>
      </c>
      <c r="C242" s="113" t="s">
        <v>353</v>
      </c>
      <c r="D242" s="113" t="s">
        <v>354</v>
      </c>
      <c r="E242" s="113" t="s">
        <v>348</v>
      </c>
      <c r="F242" s="114">
        <v>2</v>
      </c>
      <c r="G242" s="113">
        <f>[1]DISTRITOS!A242</f>
        <v>241</v>
      </c>
      <c r="H242" s="113" t="s">
        <v>694</v>
      </c>
      <c r="J242" s="8" t="s">
        <v>246</v>
      </c>
      <c r="K242" s="1" t="s">
        <v>334</v>
      </c>
      <c r="L242" s="8" t="s">
        <v>664</v>
      </c>
      <c r="R242" s="114">
        <v>1</v>
      </c>
      <c r="T242" s="63" t="s">
        <v>351</v>
      </c>
      <c r="U242" s="63" t="s">
        <v>352</v>
      </c>
      <c r="V242" s="63" t="str">
        <f t="shared" si="15"/>
        <v>SOCIEDAD-1323-SUR</v>
      </c>
      <c r="W242" s="64" t="str">
        <f t="shared" si="16"/>
        <v>1323-131079-001-2</v>
      </c>
      <c r="X242" s="15" t="str">
        <f t="shared" si="17"/>
        <v>SOCIEDAD SUR</v>
      </c>
      <c r="Y242" s="1" t="str">
        <f t="shared" si="18"/>
        <v>1323-131079-001-2 SOCIEDAD SUR</v>
      </c>
      <c r="Z242" s="1" t="str">
        <f t="shared" si="19"/>
        <v>1323 SOCIEDAD-SUR</v>
      </c>
    </row>
    <row r="243" spans="1:29" x14ac:dyDescent="0.4">
      <c r="B243" s="113" t="s">
        <v>576</v>
      </c>
      <c r="C243" s="113" t="s">
        <v>353</v>
      </c>
      <c r="D243" s="113" t="s">
        <v>354</v>
      </c>
      <c r="E243" s="113" t="s">
        <v>348</v>
      </c>
      <c r="F243" s="114">
        <v>2</v>
      </c>
      <c r="G243" s="113">
        <f>[1]DISTRITOS!A243</f>
        <v>242</v>
      </c>
      <c r="H243" s="113" t="s">
        <v>695</v>
      </c>
      <c r="J243" s="8" t="s">
        <v>233</v>
      </c>
      <c r="K243" s="1" t="s">
        <v>332</v>
      </c>
      <c r="L243" s="8" t="s">
        <v>664</v>
      </c>
      <c r="P243" s="114">
        <v>1</v>
      </c>
      <c r="T243" s="63" t="s">
        <v>351</v>
      </c>
      <c r="U243" s="63" t="s">
        <v>352</v>
      </c>
      <c r="V243" s="63" t="str">
        <f t="shared" si="15"/>
        <v>TOROLA-1324-NORTE</v>
      </c>
      <c r="W243" s="64" t="str">
        <f t="shared" si="16"/>
        <v>1324-131079-001-2</v>
      </c>
      <c r="X243" s="15" t="str">
        <f t="shared" si="17"/>
        <v>TOROLA NORTE</v>
      </c>
      <c r="Y243" s="1" t="str">
        <f t="shared" si="18"/>
        <v>1324-131079-001-2 TOROLA NORTE</v>
      </c>
      <c r="Z243" s="1" t="str">
        <f t="shared" si="19"/>
        <v>1324 TOROLA-NORTE</v>
      </c>
    </row>
    <row r="244" spans="1:29" x14ac:dyDescent="0.4">
      <c r="B244" s="113" t="s">
        <v>576</v>
      </c>
      <c r="C244" s="113" t="s">
        <v>353</v>
      </c>
      <c r="D244" s="113" t="s">
        <v>354</v>
      </c>
      <c r="E244" s="113" t="s">
        <v>348</v>
      </c>
      <c r="F244" s="114">
        <v>2</v>
      </c>
      <c r="G244" s="113">
        <f>[1]DISTRITOS!A244</f>
        <v>243</v>
      </c>
      <c r="H244" s="113" t="s">
        <v>696</v>
      </c>
      <c r="J244" s="8" t="s">
        <v>247</v>
      </c>
      <c r="K244" s="1" t="s">
        <v>334</v>
      </c>
      <c r="L244" s="8" t="s">
        <v>664</v>
      </c>
      <c r="R244" s="114">
        <v>1</v>
      </c>
      <c r="T244" s="63" t="s">
        <v>351</v>
      </c>
      <c r="U244" s="63" t="s">
        <v>352</v>
      </c>
      <c r="V244" s="63" t="str">
        <f t="shared" si="15"/>
        <v>YAMABAL-1325-SUR</v>
      </c>
      <c r="W244" s="64" t="str">
        <f t="shared" si="16"/>
        <v>1325-131079-001-2</v>
      </c>
      <c r="X244" s="15" t="str">
        <f t="shared" si="17"/>
        <v>YAMABAL SUR</v>
      </c>
      <c r="Y244" s="1" t="str">
        <f t="shared" si="18"/>
        <v>1325-131079-001-2 YAMABAL SUR</v>
      </c>
      <c r="Z244" s="1" t="str">
        <f t="shared" si="19"/>
        <v>1325 YAMABAL-SUR</v>
      </c>
    </row>
    <row r="245" spans="1:29" x14ac:dyDescent="0.4">
      <c r="B245" s="113" t="s">
        <v>576</v>
      </c>
      <c r="C245" s="113" t="s">
        <v>353</v>
      </c>
      <c r="D245" s="113" t="s">
        <v>354</v>
      </c>
      <c r="E245" s="113" t="s">
        <v>348</v>
      </c>
      <c r="F245" s="114">
        <v>2</v>
      </c>
      <c r="G245" s="113">
        <f>[1]DISTRITOS!A245</f>
        <v>244</v>
      </c>
      <c r="H245" s="113" t="s">
        <v>697</v>
      </c>
      <c r="J245" s="8" t="s">
        <v>698</v>
      </c>
      <c r="K245" s="1" t="s">
        <v>334</v>
      </c>
      <c r="L245" s="8" t="s">
        <v>664</v>
      </c>
      <c r="R245" s="114">
        <v>1</v>
      </c>
      <c r="T245" s="63" t="s">
        <v>351</v>
      </c>
      <c r="U245" s="63" t="s">
        <v>352</v>
      </c>
      <c r="V245" s="63" t="str">
        <f t="shared" si="15"/>
        <v>YOLOAIQUIN-1326-SUR</v>
      </c>
      <c r="W245" s="64" t="str">
        <f t="shared" si="16"/>
        <v>1326-131079-001-2</v>
      </c>
      <c r="X245" s="15" t="str">
        <f t="shared" si="17"/>
        <v>YOLOAIQUIN SUR</v>
      </c>
      <c r="Y245" s="1" t="str">
        <f t="shared" si="18"/>
        <v>1326-131079-001-2 YOLOAIQUIN SUR</v>
      </c>
      <c r="Z245" s="1" t="str">
        <f t="shared" si="19"/>
        <v>1326 YOLOAIQUIN-SUR</v>
      </c>
    </row>
    <row r="246" spans="1:29" x14ac:dyDescent="0.4">
      <c r="A246" s="1" t="s">
        <v>356</v>
      </c>
      <c r="B246" s="117" t="s">
        <v>524</v>
      </c>
      <c r="C246" s="117" t="s">
        <v>353</v>
      </c>
      <c r="D246" s="117" t="s">
        <v>354</v>
      </c>
      <c r="E246" s="117" t="s">
        <v>348</v>
      </c>
      <c r="F246" s="66">
        <v>0</v>
      </c>
      <c r="G246" s="117">
        <f>[1]DISTRITOS!A246</f>
        <v>245</v>
      </c>
      <c r="H246" s="117" t="s">
        <v>699</v>
      </c>
      <c r="J246" s="1" t="s">
        <v>700</v>
      </c>
      <c r="K246" s="1" t="s">
        <v>332</v>
      </c>
      <c r="L246" s="1" t="s">
        <v>15</v>
      </c>
      <c r="P246" s="66">
        <v>1</v>
      </c>
      <c r="T246" s="63" t="s">
        <v>351</v>
      </c>
      <c r="U246" s="63" t="s">
        <v>352</v>
      </c>
      <c r="V246" s="63" t="str">
        <f t="shared" si="15"/>
        <v>ANAMOROS-1401-NORTE</v>
      </c>
      <c r="W246" s="64" t="str">
        <f t="shared" si="16"/>
        <v>1401-141079-001-0</v>
      </c>
      <c r="X246" s="15" t="str">
        <f t="shared" si="17"/>
        <v>ANAMOROS NORTE</v>
      </c>
      <c r="Y246" s="1" t="str">
        <f t="shared" si="18"/>
        <v>1401-141079-001-0 ANAMOROS NORTE</v>
      </c>
      <c r="Z246" s="1" t="str">
        <f t="shared" si="19"/>
        <v>1401 ANAMOROS-NORTE</v>
      </c>
      <c r="AA246" s="118">
        <v>1155.6500000000001</v>
      </c>
      <c r="AB246" s="119">
        <v>115296</v>
      </c>
      <c r="AC246" s="120">
        <v>99.77</v>
      </c>
    </row>
    <row r="247" spans="1:29" x14ac:dyDescent="0.4">
      <c r="B247" s="117" t="s">
        <v>524</v>
      </c>
      <c r="C247" s="117" t="s">
        <v>353</v>
      </c>
      <c r="D247" s="117" t="s">
        <v>354</v>
      </c>
      <c r="E247" s="117" t="s">
        <v>348</v>
      </c>
      <c r="F247" s="66">
        <v>0</v>
      </c>
      <c r="G247" s="117">
        <f>[1]DISTRITOS!A247</f>
        <v>246</v>
      </c>
      <c r="H247" s="117" t="s">
        <v>701</v>
      </c>
      <c r="J247" s="1" t="s">
        <v>702</v>
      </c>
      <c r="K247" s="1" t="s">
        <v>332</v>
      </c>
      <c r="L247" s="1" t="s">
        <v>15</v>
      </c>
      <c r="P247" s="66">
        <v>1</v>
      </c>
      <c r="T247" s="63" t="s">
        <v>351</v>
      </c>
      <c r="U247" s="63" t="s">
        <v>352</v>
      </c>
      <c r="V247" s="63" t="str">
        <f t="shared" si="15"/>
        <v>BOLIVAR-1402-NORTE</v>
      </c>
      <c r="W247" s="64" t="str">
        <f t="shared" si="16"/>
        <v>1402-141079-001-0</v>
      </c>
      <c r="X247" s="15" t="str">
        <f t="shared" si="17"/>
        <v>BOLIVAR NORTE</v>
      </c>
      <c r="Y247" s="1" t="str">
        <f t="shared" si="18"/>
        <v>1402-141079-001-0 BOLIVAR NORTE</v>
      </c>
      <c r="Z247" s="1" t="str">
        <f t="shared" si="19"/>
        <v>1402 BOLIVAR-NORTE</v>
      </c>
    </row>
    <row r="248" spans="1:29" x14ac:dyDescent="0.4">
      <c r="B248" s="117" t="s">
        <v>524</v>
      </c>
      <c r="C248" s="117" t="s">
        <v>353</v>
      </c>
      <c r="D248" s="117" t="s">
        <v>354</v>
      </c>
      <c r="E248" s="117" t="s">
        <v>348</v>
      </c>
      <c r="F248" s="66">
        <v>0</v>
      </c>
      <c r="G248" s="117">
        <f>[1]DISTRITOS!A248</f>
        <v>247</v>
      </c>
      <c r="H248" s="117" t="s">
        <v>703</v>
      </c>
      <c r="J248" s="1" t="s">
        <v>704</v>
      </c>
      <c r="K248" s="1" t="s">
        <v>332</v>
      </c>
      <c r="L248" s="1" t="s">
        <v>15</v>
      </c>
      <c r="P248" s="66">
        <v>1</v>
      </c>
      <c r="T248" s="63" t="s">
        <v>351</v>
      </c>
      <c r="U248" s="63" t="s">
        <v>352</v>
      </c>
      <c r="V248" s="63" t="str">
        <f t="shared" si="15"/>
        <v>CONCEPCION DE ORIENTE-1403-NORTE</v>
      </c>
      <c r="W248" s="64" t="str">
        <f t="shared" si="16"/>
        <v>1403-141079-001-0</v>
      </c>
      <c r="X248" s="15" t="str">
        <f t="shared" si="17"/>
        <v>CONCEPCION DE ORIENTE NORTE</v>
      </c>
      <c r="Y248" s="1" t="str">
        <f t="shared" si="18"/>
        <v>1403-141079-001-0 CONCEPCION DE ORIENTE NORTE</v>
      </c>
      <c r="Z248" s="1" t="str">
        <f t="shared" si="19"/>
        <v>1403 CONCEPCION DE ORIENTE-NORTE</v>
      </c>
    </row>
    <row r="249" spans="1:29" x14ac:dyDescent="0.4">
      <c r="A249" s="1" t="s">
        <v>361</v>
      </c>
      <c r="B249" s="117" t="s">
        <v>524</v>
      </c>
      <c r="C249" s="117" t="s">
        <v>353</v>
      </c>
      <c r="D249" s="117" t="s">
        <v>354</v>
      </c>
      <c r="E249" s="117" t="s">
        <v>348</v>
      </c>
      <c r="F249" s="66">
        <v>0</v>
      </c>
      <c r="G249" s="117">
        <f>[1]DISTRITOS!A249</f>
        <v>248</v>
      </c>
      <c r="H249" s="117" t="s">
        <v>705</v>
      </c>
      <c r="J249" s="1" t="s">
        <v>259</v>
      </c>
      <c r="K249" s="1" t="s">
        <v>334</v>
      </c>
      <c r="L249" s="1" t="s">
        <v>15</v>
      </c>
      <c r="R249" s="66">
        <v>1</v>
      </c>
      <c r="T249" s="63" t="s">
        <v>351</v>
      </c>
      <c r="U249" s="63" t="s">
        <v>352</v>
      </c>
      <c r="V249" s="63" t="str">
        <f t="shared" si="15"/>
        <v>CONCHAGUA-1404-SUR</v>
      </c>
      <c r="W249" s="64" t="str">
        <f t="shared" si="16"/>
        <v>1404-141079-001-0</v>
      </c>
      <c r="X249" s="15" t="str">
        <f t="shared" si="17"/>
        <v>CONCHAGUA SUR</v>
      </c>
      <c r="Y249" s="1" t="str">
        <f t="shared" si="18"/>
        <v>1404-141079-001-0 CONCHAGUA SUR</v>
      </c>
      <c r="Z249" s="1" t="str">
        <f t="shared" si="19"/>
        <v>1404 CONCHAGUA-SUR</v>
      </c>
      <c r="AA249" s="120">
        <v>918.74</v>
      </c>
      <c r="AB249" s="119">
        <v>124964</v>
      </c>
      <c r="AC249" s="120">
        <v>136.02000000000001</v>
      </c>
    </row>
    <row r="250" spans="1:29" x14ac:dyDescent="0.4">
      <c r="B250" s="117" t="s">
        <v>524</v>
      </c>
      <c r="C250" s="117" t="s">
        <v>353</v>
      </c>
      <c r="D250" s="117" t="s">
        <v>354</v>
      </c>
      <c r="E250" s="117" t="s">
        <v>348</v>
      </c>
      <c r="F250" s="66">
        <v>0</v>
      </c>
      <c r="G250" s="117">
        <f>[1]DISTRITOS!A250</f>
        <v>249</v>
      </c>
      <c r="H250" s="117" t="s">
        <v>706</v>
      </c>
      <c r="J250" s="1" t="s">
        <v>156</v>
      </c>
      <c r="K250" s="1" t="s">
        <v>334</v>
      </c>
      <c r="L250" s="1" t="s">
        <v>15</v>
      </c>
      <c r="R250" s="66">
        <v>1</v>
      </c>
      <c r="T250" s="63" t="s">
        <v>351</v>
      </c>
      <c r="U250" s="63" t="s">
        <v>352</v>
      </c>
      <c r="V250" s="63" t="str">
        <f t="shared" si="15"/>
        <v>EL CARMEN-1405-SUR</v>
      </c>
      <c r="W250" s="64" t="str">
        <f t="shared" si="16"/>
        <v>1405-141079-001-0</v>
      </c>
      <c r="X250" s="15" t="str">
        <f t="shared" si="17"/>
        <v>EL CARMEN SUR</v>
      </c>
      <c r="Y250" s="1" t="str">
        <f t="shared" si="18"/>
        <v>1405-141079-001-0 EL CARMEN SUR</v>
      </c>
      <c r="Z250" s="1" t="str">
        <f t="shared" si="19"/>
        <v>1405 EL CARMEN-SUR</v>
      </c>
    </row>
    <row r="251" spans="1:29" x14ac:dyDescent="0.4">
      <c r="B251" s="117" t="s">
        <v>524</v>
      </c>
      <c r="C251" s="117" t="s">
        <v>353</v>
      </c>
      <c r="D251" s="117" t="s">
        <v>354</v>
      </c>
      <c r="E251" s="117" t="s">
        <v>348</v>
      </c>
      <c r="F251" s="66">
        <v>0</v>
      </c>
      <c r="G251" s="117">
        <f>[1]DISTRITOS!A251</f>
        <v>250</v>
      </c>
      <c r="H251" s="117" t="s">
        <v>707</v>
      </c>
      <c r="J251" s="1" t="s">
        <v>252</v>
      </c>
      <c r="K251" s="1" t="s">
        <v>332</v>
      </c>
      <c r="L251" s="1" t="s">
        <v>15</v>
      </c>
      <c r="P251" s="66">
        <v>1</v>
      </c>
      <c r="T251" s="63" t="s">
        <v>351</v>
      </c>
      <c r="U251" s="63" t="s">
        <v>352</v>
      </c>
      <c r="V251" s="63" t="str">
        <f t="shared" si="15"/>
        <v>EL SAUCE-1406-NORTE</v>
      </c>
      <c r="W251" s="64" t="str">
        <f t="shared" si="16"/>
        <v>1406-141079-001-0</v>
      </c>
      <c r="X251" s="15" t="str">
        <f t="shared" si="17"/>
        <v>EL SAUCE NORTE</v>
      </c>
      <c r="Y251" s="1" t="str">
        <f t="shared" si="18"/>
        <v>1406-141079-001-0 EL SAUCE NORTE</v>
      </c>
      <c r="Z251" s="1" t="str">
        <f t="shared" si="19"/>
        <v>1406 EL SAUCE-NORTE</v>
      </c>
    </row>
    <row r="252" spans="1:29" x14ac:dyDescent="0.4">
      <c r="B252" s="117" t="s">
        <v>524</v>
      </c>
      <c r="C252" s="117" t="s">
        <v>353</v>
      </c>
      <c r="D252" s="117" t="s">
        <v>354</v>
      </c>
      <c r="E252" s="117" t="s">
        <v>348</v>
      </c>
      <c r="F252" s="66">
        <v>0</v>
      </c>
      <c r="G252" s="117">
        <f>[1]DISTRITOS!A252</f>
        <v>251</v>
      </c>
      <c r="H252" s="117" t="s">
        <v>708</v>
      </c>
      <c r="J252" s="1" t="s">
        <v>709</v>
      </c>
      <c r="K252" s="1" t="s">
        <v>334</v>
      </c>
      <c r="L252" s="1" t="s">
        <v>15</v>
      </c>
      <c r="R252" s="66">
        <v>1</v>
      </c>
      <c r="T252" s="63" t="s">
        <v>351</v>
      </c>
      <c r="U252" s="63" t="s">
        <v>352</v>
      </c>
      <c r="V252" s="63" t="str">
        <f t="shared" si="15"/>
        <v>INTIPUCA-1407-SUR</v>
      </c>
      <c r="W252" s="64" t="str">
        <f t="shared" si="16"/>
        <v>1407-141079-001-0</v>
      </c>
      <c r="X252" s="15" t="str">
        <f t="shared" si="17"/>
        <v>INTIPUCA SUR</v>
      </c>
      <c r="Y252" s="1" t="str">
        <f t="shared" si="18"/>
        <v>1407-141079-001-0 INTIPUCA SUR</v>
      </c>
      <c r="Z252" s="1" t="str">
        <f t="shared" si="19"/>
        <v>1407 INTIPUCA-SUR</v>
      </c>
    </row>
    <row r="253" spans="1:29" x14ac:dyDescent="0.4">
      <c r="B253" s="117" t="s">
        <v>345</v>
      </c>
      <c r="C253" s="117" t="s">
        <v>346</v>
      </c>
      <c r="D253" s="117" t="s">
        <v>347</v>
      </c>
      <c r="E253" s="117" t="s">
        <v>348</v>
      </c>
      <c r="F253" s="66">
        <v>9</v>
      </c>
      <c r="G253" s="117">
        <f>[1]DISTRITOS!A253</f>
        <v>252</v>
      </c>
      <c r="H253" s="117" t="s">
        <v>710</v>
      </c>
      <c r="I253" s="1">
        <f>[2]DEPARTAMENTOS!A15</f>
        <v>14</v>
      </c>
      <c r="J253" s="1" t="s">
        <v>15</v>
      </c>
      <c r="K253" s="1" t="s">
        <v>334</v>
      </c>
      <c r="L253" s="1" t="s">
        <v>15</v>
      </c>
      <c r="R253" s="66">
        <v>1</v>
      </c>
      <c r="T253" s="63" t="s">
        <v>351</v>
      </c>
      <c r="U253" s="63" t="s">
        <v>352</v>
      </c>
      <c r="V253" s="63" t="str">
        <f t="shared" si="15"/>
        <v>LA UNION-1408-SUR</v>
      </c>
      <c r="W253" s="64" t="str">
        <f t="shared" si="16"/>
        <v>1408-010611-001-9</v>
      </c>
      <c r="X253" s="15" t="str">
        <f t="shared" si="17"/>
        <v>LA UNION SUR</v>
      </c>
      <c r="Y253" s="1" t="str">
        <f t="shared" si="18"/>
        <v>1408-010611-001-9 LA UNION SUR</v>
      </c>
      <c r="Z253" s="1" t="str">
        <f t="shared" si="19"/>
        <v>1408 LA UNION-SUR</v>
      </c>
    </row>
    <row r="254" spans="1:29" x14ac:dyDescent="0.4">
      <c r="B254" s="117" t="s">
        <v>524</v>
      </c>
      <c r="C254" s="117" t="s">
        <v>353</v>
      </c>
      <c r="D254" s="117" t="s">
        <v>354</v>
      </c>
      <c r="E254" s="117" t="s">
        <v>348</v>
      </c>
      <c r="F254" s="66">
        <v>0</v>
      </c>
      <c r="G254" s="117">
        <f>[1]DISTRITOS!A254</f>
        <v>253</v>
      </c>
      <c r="H254" s="117" t="s">
        <v>711</v>
      </c>
      <c r="J254" s="1" t="s">
        <v>253</v>
      </c>
      <c r="K254" s="1" t="s">
        <v>332</v>
      </c>
      <c r="L254" s="1" t="s">
        <v>15</v>
      </c>
      <c r="P254" s="66">
        <v>1</v>
      </c>
      <c r="T254" s="63" t="s">
        <v>351</v>
      </c>
      <c r="U254" s="63" t="s">
        <v>352</v>
      </c>
      <c r="V254" s="63" t="str">
        <f t="shared" si="15"/>
        <v>LISLIQUE-1409-NORTE</v>
      </c>
      <c r="W254" s="64" t="str">
        <f t="shared" si="16"/>
        <v>1409-141079-001-0</v>
      </c>
      <c r="X254" s="15" t="str">
        <f t="shared" si="17"/>
        <v>LISLIQUE NORTE</v>
      </c>
      <c r="Y254" s="1" t="str">
        <f t="shared" si="18"/>
        <v>1409-141079-001-0 LISLIQUE NORTE</v>
      </c>
      <c r="Z254" s="1" t="str">
        <f t="shared" si="19"/>
        <v>1409 LISLIQUE-NORTE</v>
      </c>
    </row>
    <row r="255" spans="1:29" x14ac:dyDescent="0.4">
      <c r="B255" s="117" t="s">
        <v>712</v>
      </c>
      <c r="C255" s="117" t="s">
        <v>346</v>
      </c>
      <c r="D255" s="117" t="s">
        <v>570</v>
      </c>
      <c r="E255" s="117" t="s">
        <v>348</v>
      </c>
      <c r="F255" s="66">
        <v>9</v>
      </c>
      <c r="G255" s="117">
        <f>[1]DISTRITOS!A255</f>
        <v>254</v>
      </c>
      <c r="H255" s="117" t="s">
        <v>713</v>
      </c>
      <c r="J255" s="1" t="s">
        <v>262</v>
      </c>
      <c r="K255" s="1" t="s">
        <v>334</v>
      </c>
      <c r="L255" s="1" t="s">
        <v>15</v>
      </c>
      <c r="R255" s="66">
        <v>1</v>
      </c>
      <c r="T255" s="63" t="s">
        <v>351</v>
      </c>
      <c r="U255" s="63" t="s">
        <v>352</v>
      </c>
      <c r="V255" s="63" t="str">
        <f t="shared" si="15"/>
        <v>MEANGUERA DEL GOLFO-1410-SUR</v>
      </c>
      <c r="W255" s="64" t="str">
        <f t="shared" si="16"/>
        <v>1410-170616-001-9</v>
      </c>
      <c r="X255" s="15" t="str">
        <f t="shared" si="17"/>
        <v>MEANGUERA DEL GOLFO SUR</v>
      </c>
      <c r="Y255" s="1" t="str">
        <f t="shared" si="18"/>
        <v>1410-170616-001-9 MEANGUERA DEL GOLFO SUR</v>
      </c>
      <c r="Z255" s="1" t="str">
        <f t="shared" si="19"/>
        <v>1410 MEANGUERA DEL GOLFO-SUR</v>
      </c>
    </row>
    <row r="256" spans="1:29" x14ac:dyDescent="0.4">
      <c r="B256" s="117" t="s">
        <v>524</v>
      </c>
      <c r="C256" s="117" t="s">
        <v>353</v>
      </c>
      <c r="D256" s="117" t="s">
        <v>354</v>
      </c>
      <c r="E256" s="117" t="s">
        <v>348</v>
      </c>
      <c r="F256" s="66">
        <v>1</v>
      </c>
      <c r="G256" s="117">
        <f>[1]DISTRITOS!A256</f>
        <v>255</v>
      </c>
      <c r="H256" s="117" t="s">
        <v>714</v>
      </c>
      <c r="J256" s="1" t="s">
        <v>254</v>
      </c>
      <c r="K256" s="1" t="s">
        <v>332</v>
      </c>
      <c r="L256" s="1" t="s">
        <v>15</v>
      </c>
      <c r="P256" s="66">
        <v>1</v>
      </c>
      <c r="T256" s="63" t="s">
        <v>351</v>
      </c>
      <c r="U256" s="63" t="s">
        <v>352</v>
      </c>
      <c r="V256" s="63" t="str">
        <f t="shared" si="15"/>
        <v>NUEVA ESPARTA-1411-NORTE</v>
      </c>
      <c r="W256" s="64" t="str">
        <f t="shared" si="16"/>
        <v>1411-141079-001-1</v>
      </c>
      <c r="X256" s="15" t="str">
        <f t="shared" si="17"/>
        <v>NUEVA ESPARTA NORTE</v>
      </c>
      <c r="Y256" s="1" t="str">
        <f t="shared" si="18"/>
        <v>1411-141079-001-1 NUEVA ESPARTA NORTE</v>
      </c>
      <c r="Z256" s="1" t="str">
        <f t="shared" si="19"/>
        <v>1411 NUEVA ESPARTA-NORTE</v>
      </c>
    </row>
    <row r="257" spans="2:26" x14ac:dyDescent="0.4">
      <c r="B257" s="117" t="s">
        <v>524</v>
      </c>
      <c r="C257" s="117" t="s">
        <v>353</v>
      </c>
      <c r="D257" s="117" t="s">
        <v>354</v>
      </c>
      <c r="E257" s="117" t="s">
        <v>348</v>
      </c>
      <c r="F257" s="66">
        <v>1</v>
      </c>
      <c r="G257" s="117">
        <f>[1]DISTRITOS!A257</f>
        <v>256</v>
      </c>
      <c r="H257" s="117" t="s">
        <v>715</v>
      </c>
      <c r="J257" s="1" t="s">
        <v>255</v>
      </c>
      <c r="K257" s="1" t="s">
        <v>332</v>
      </c>
      <c r="L257" s="1" t="s">
        <v>15</v>
      </c>
      <c r="P257" s="66">
        <v>1</v>
      </c>
      <c r="T257" s="63" t="s">
        <v>351</v>
      </c>
      <c r="U257" s="63" t="s">
        <v>352</v>
      </c>
      <c r="V257" s="63" t="str">
        <f t="shared" si="15"/>
        <v>PASAQUINA-1412-NORTE</v>
      </c>
      <c r="W257" s="64" t="str">
        <f t="shared" si="16"/>
        <v>1412-141079-001-1</v>
      </c>
      <c r="X257" s="15" t="str">
        <f t="shared" si="17"/>
        <v>PASAQUINA NORTE</v>
      </c>
      <c r="Y257" s="1" t="str">
        <f t="shared" si="18"/>
        <v>1412-141079-001-1 PASAQUINA NORTE</v>
      </c>
      <c r="Z257" s="1" t="str">
        <f t="shared" si="19"/>
        <v>1412 PASAQUINA-NORTE</v>
      </c>
    </row>
    <row r="258" spans="2:26" x14ac:dyDescent="0.4">
      <c r="B258" s="117" t="s">
        <v>524</v>
      </c>
      <c r="C258" s="117" t="s">
        <v>353</v>
      </c>
      <c r="D258" s="117" t="s">
        <v>354</v>
      </c>
      <c r="E258" s="117" t="s">
        <v>348</v>
      </c>
      <c r="F258" s="66">
        <v>1</v>
      </c>
      <c r="G258" s="117">
        <f>[1]DISTRITOS!A258</f>
        <v>257</v>
      </c>
      <c r="H258" s="117" t="s">
        <v>716</v>
      </c>
      <c r="J258" s="1" t="s">
        <v>717</v>
      </c>
      <c r="K258" s="1" t="s">
        <v>332</v>
      </c>
      <c r="L258" s="1" t="s">
        <v>15</v>
      </c>
      <c r="P258" s="66">
        <v>1</v>
      </c>
      <c r="T258" s="63" t="s">
        <v>351</v>
      </c>
      <c r="U258" s="63" t="s">
        <v>352</v>
      </c>
      <c r="V258" s="63" t="str">
        <f t="shared" ref="V258:V263" si="20">CONCATENATE(J258,T258,H258,T258,K258)</f>
        <v>POLOROS-1413-NORTE</v>
      </c>
      <c r="W258" s="64" t="str">
        <f t="shared" ref="W258:W263" si="21">CONCATENATE(H258,T258,B258,C258,D258,T258,E258,T258,F258)</f>
        <v>1413-141079-001-1</v>
      </c>
      <c r="X258" s="15" t="str">
        <f t="shared" ref="X258:X263" si="22">CONCATENATE(J258,U258,K258)</f>
        <v>POLOROS NORTE</v>
      </c>
      <c r="Y258" s="1" t="str">
        <f t="shared" ref="Y258:Y263" si="23">CONCATENATE(W258,U258,X258)</f>
        <v>1413-141079-001-1 POLOROS NORTE</v>
      </c>
      <c r="Z258" s="1" t="str">
        <f t="shared" ref="Z258:Z263" si="24">CONCATENATE(H258,U258,J258,T258,K258)</f>
        <v>1413 POLOROS-NORTE</v>
      </c>
    </row>
    <row r="259" spans="2:26" x14ac:dyDescent="0.4">
      <c r="B259" s="117" t="s">
        <v>524</v>
      </c>
      <c r="C259" s="117" t="s">
        <v>353</v>
      </c>
      <c r="D259" s="117" t="s">
        <v>354</v>
      </c>
      <c r="E259" s="117" t="s">
        <v>348</v>
      </c>
      <c r="F259" s="66">
        <v>1</v>
      </c>
      <c r="G259" s="117">
        <f>[1]DISTRITOS!A259</f>
        <v>258</v>
      </c>
      <c r="H259" s="117" t="s">
        <v>718</v>
      </c>
      <c r="J259" s="1" t="s">
        <v>263</v>
      </c>
      <c r="K259" s="1" t="s">
        <v>334</v>
      </c>
      <c r="L259" s="1" t="s">
        <v>15</v>
      </c>
      <c r="R259" s="66">
        <v>1</v>
      </c>
      <c r="T259" s="63" t="s">
        <v>351</v>
      </c>
      <c r="U259" s="63" t="s">
        <v>352</v>
      </c>
      <c r="V259" s="63" t="str">
        <f t="shared" si="20"/>
        <v>SAN ALEJO-1414-SUR</v>
      </c>
      <c r="W259" s="64" t="str">
        <f t="shared" si="21"/>
        <v>1414-141079-001-1</v>
      </c>
      <c r="X259" s="15" t="str">
        <f t="shared" si="22"/>
        <v>SAN ALEJO SUR</v>
      </c>
      <c r="Y259" s="1" t="str">
        <f t="shared" si="23"/>
        <v>1414-141079-001-1 SAN ALEJO SUR</v>
      </c>
      <c r="Z259" s="1" t="str">
        <f t="shared" si="24"/>
        <v>1414 SAN ALEJO-SUR</v>
      </c>
    </row>
    <row r="260" spans="2:26" x14ac:dyDescent="0.4">
      <c r="B260" s="117" t="s">
        <v>524</v>
      </c>
      <c r="C260" s="117" t="s">
        <v>353</v>
      </c>
      <c r="D260" s="117" t="s">
        <v>354</v>
      </c>
      <c r="E260" s="117" t="s">
        <v>348</v>
      </c>
      <c r="F260" s="66">
        <v>1</v>
      </c>
      <c r="G260" s="117">
        <f>[1]DISTRITOS!A260</f>
        <v>259</v>
      </c>
      <c r="H260" s="117" t="s">
        <v>719</v>
      </c>
      <c r="J260" s="1" t="s">
        <v>720</v>
      </c>
      <c r="K260" s="1" t="s">
        <v>332</v>
      </c>
      <c r="L260" s="1" t="s">
        <v>15</v>
      </c>
      <c r="P260" s="66">
        <v>1</v>
      </c>
      <c r="T260" s="63" t="s">
        <v>351</v>
      </c>
      <c r="U260" s="63" t="s">
        <v>352</v>
      </c>
      <c r="V260" s="63" t="str">
        <f t="shared" si="20"/>
        <v>SAN JOSE-1415-NORTE</v>
      </c>
      <c r="W260" s="64" t="str">
        <f t="shared" si="21"/>
        <v>1415-141079-001-1</v>
      </c>
      <c r="X260" s="15" t="str">
        <f t="shared" si="22"/>
        <v>SAN JOSE NORTE</v>
      </c>
      <c r="Y260" s="1" t="str">
        <f t="shared" si="23"/>
        <v>1415-141079-001-1 SAN JOSE NORTE</v>
      </c>
      <c r="Z260" s="1" t="str">
        <f t="shared" si="24"/>
        <v>1415 SAN JOSE-NORTE</v>
      </c>
    </row>
    <row r="261" spans="2:26" x14ac:dyDescent="0.4">
      <c r="B261" s="117" t="s">
        <v>345</v>
      </c>
      <c r="C261" s="117" t="s">
        <v>346</v>
      </c>
      <c r="D261" s="117" t="s">
        <v>347</v>
      </c>
      <c r="E261" s="117" t="s">
        <v>348</v>
      </c>
      <c r="F261" s="66">
        <v>0</v>
      </c>
      <c r="G261" s="117">
        <f>[1]DISTRITOS!A261</f>
        <v>260</v>
      </c>
      <c r="H261" s="117" t="s">
        <v>721</v>
      </c>
      <c r="J261" s="1" t="s">
        <v>258</v>
      </c>
      <c r="K261" s="1" t="s">
        <v>332</v>
      </c>
      <c r="L261" s="1" t="s">
        <v>15</v>
      </c>
      <c r="P261" s="66">
        <v>1</v>
      </c>
      <c r="T261" s="63" t="s">
        <v>351</v>
      </c>
      <c r="U261" s="63" t="s">
        <v>352</v>
      </c>
      <c r="V261" s="63" t="str">
        <f t="shared" si="20"/>
        <v>SANTA ROSA DE LIMA-1416-NORTE</v>
      </c>
      <c r="W261" s="64" t="str">
        <f t="shared" si="21"/>
        <v>1416-010611-001-0</v>
      </c>
      <c r="X261" s="15" t="str">
        <f t="shared" si="22"/>
        <v>SANTA ROSA DE LIMA NORTE</v>
      </c>
      <c r="Y261" s="1" t="str">
        <f t="shared" si="23"/>
        <v>1416-010611-001-0 SANTA ROSA DE LIMA NORTE</v>
      </c>
      <c r="Z261" s="1" t="str">
        <f t="shared" si="24"/>
        <v>1416 SANTA ROSA DE LIMA-NORTE</v>
      </c>
    </row>
    <row r="262" spans="2:26" x14ac:dyDescent="0.4">
      <c r="B262" s="117" t="s">
        <v>524</v>
      </c>
      <c r="C262" s="117" t="s">
        <v>353</v>
      </c>
      <c r="D262" s="117" t="s">
        <v>354</v>
      </c>
      <c r="E262" s="117" t="s">
        <v>348</v>
      </c>
      <c r="F262" s="66">
        <v>1</v>
      </c>
      <c r="G262" s="117">
        <f>[1]DISTRITOS!A262</f>
        <v>261</v>
      </c>
      <c r="H262" s="117" t="s">
        <v>722</v>
      </c>
      <c r="J262" s="1" t="s">
        <v>264</v>
      </c>
      <c r="K262" s="1" t="s">
        <v>334</v>
      </c>
      <c r="L262" s="1" t="s">
        <v>15</v>
      </c>
      <c r="R262" s="66">
        <v>1</v>
      </c>
      <c r="T262" s="63" t="s">
        <v>351</v>
      </c>
      <c r="U262" s="63" t="s">
        <v>352</v>
      </c>
      <c r="V262" s="63" t="str">
        <f t="shared" si="20"/>
        <v>YAYANTIQUE-1417-SUR</v>
      </c>
      <c r="W262" s="64" t="str">
        <f t="shared" si="21"/>
        <v>1417-141079-001-1</v>
      </c>
      <c r="X262" s="15" t="str">
        <f t="shared" si="22"/>
        <v>YAYANTIQUE SUR</v>
      </c>
      <c r="Y262" s="1" t="str">
        <f t="shared" si="23"/>
        <v>1417-141079-001-1 YAYANTIQUE SUR</v>
      </c>
      <c r="Z262" s="1" t="str">
        <f t="shared" si="24"/>
        <v>1417 YAYANTIQUE-SUR</v>
      </c>
    </row>
    <row r="263" spans="2:26" x14ac:dyDescent="0.4">
      <c r="B263" s="117" t="s">
        <v>524</v>
      </c>
      <c r="C263" s="117" t="s">
        <v>353</v>
      </c>
      <c r="D263" s="117" t="s">
        <v>354</v>
      </c>
      <c r="E263" s="117" t="s">
        <v>348</v>
      </c>
      <c r="F263" s="66">
        <v>1</v>
      </c>
      <c r="G263" s="117">
        <f>[1]DISTRITOS!A263</f>
        <v>262</v>
      </c>
      <c r="H263" s="117" t="s">
        <v>723</v>
      </c>
      <c r="J263" s="1" t="s">
        <v>724</v>
      </c>
      <c r="K263" s="1" t="s">
        <v>334</v>
      </c>
      <c r="L263" s="1" t="s">
        <v>15</v>
      </c>
      <c r="R263" s="66">
        <v>1</v>
      </c>
      <c r="T263" s="63" t="s">
        <v>351</v>
      </c>
      <c r="U263" s="63" t="s">
        <v>352</v>
      </c>
      <c r="V263" s="63" t="str">
        <f t="shared" si="20"/>
        <v>YUCUAIQUIN-1418-SUR</v>
      </c>
      <c r="W263" s="64" t="str">
        <f t="shared" si="21"/>
        <v>1418-141079-001-1</v>
      </c>
      <c r="X263" s="15" t="str">
        <f t="shared" si="22"/>
        <v>YUCUAIQUIN SUR</v>
      </c>
      <c r="Y263" s="1" t="str">
        <f t="shared" si="23"/>
        <v>1418-141079-001-1 YUCUAIQUIN SUR</v>
      </c>
      <c r="Z263" s="1" t="str">
        <f t="shared" si="24"/>
        <v>1418 YUCUAIQUIN-SUR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34E7-F3AF-4908-AC78-8A7A6E89368E}">
  <sheetPr codeName="Hoja6"/>
  <dimension ref="A1:AD22"/>
  <sheetViews>
    <sheetView showZeros="0"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1" width="0.86328125" style="1" bestFit="1" customWidth="1"/>
    <col min="22" max="22" width="1.1328125" style="1" customWidth="1"/>
    <col min="23" max="23" width="19.06640625" style="1" bestFit="1" customWidth="1"/>
    <col min="24" max="24" width="8.79687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 t="str">
        <f>'N TRIBUTARIO'!A246</f>
        <v>N1</v>
      </c>
      <c r="B2" s="1" t="str">
        <f>'N TRIBUTARIO'!B246</f>
        <v>14</v>
      </c>
      <c r="C2" s="1" t="str">
        <f>'N TRIBUTARIO'!C246</f>
        <v>10</v>
      </c>
      <c r="D2" s="1" t="str">
        <f>'N TRIBUTARIO'!D246</f>
        <v>79</v>
      </c>
      <c r="E2" s="1" t="str">
        <f>'N TRIBUTARIO'!E246</f>
        <v>001</v>
      </c>
      <c r="F2" s="1">
        <f>'N TRIBUTARIO'!F246</f>
        <v>0</v>
      </c>
      <c r="G2" s="1">
        <f>'N TRIBUTARIO'!G246</f>
        <v>245</v>
      </c>
      <c r="H2" s="1" t="str">
        <f>'N TRIBUTARIO'!H246</f>
        <v>1401</v>
      </c>
      <c r="I2" s="1">
        <f>'N TRIBUTARIO'!I246</f>
        <v>0</v>
      </c>
      <c r="J2" s="1" t="s">
        <v>725</v>
      </c>
      <c r="K2" s="1" t="str">
        <f>'N TRIBUTARIO'!J246</f>
        <v>ANAMOROS</v>
      </c>
      <c r="L2" s="1" t="str">
        <f>'N TRIBUTARIO'!K246</f>
        <v>NORTE</v>
      </c>
      <c r="M2" s="1" t="str">
        <f>'N TRIBUTARIO'!L246</f>
        <v>LA UNION</v>
      </c>
      <c r="N2" s="1">
        <f>'N TRIBUTARIO'!M246</f>
        <v>0</v>
      </c>
      <c r="O2" s="1">
        <f>'N TRIBUTARIO'!N246</f>
        <v>0</v>
      </c>
      <c r="P2" s="1">
        <f>'N TRIBUTARIO'!O246</f>
        <v>0</v>
      </c>
      <c r="Q2" s="1">
        <f>'N TRIBUTARIO'!P246</f>
        <v>1</v>
      </c>
      <c r="R2" s="1">
        <f>'N TRIBUTARIO'!Q246</f>
        <v>0</v>
      </c>
      <c r="S2" s="1">
        <f>'N TRIBUTARIO'!R246</f>
        <v>0</v>
      </c>
      <c r="T2" s="1">
        <f>'N TRIBUTARIO'!S246</f>
        <v>0</v>
      </c>
      <c r="U2" s="1" t="str">
        <f>'N TRIBUTARIO'!T246</f>
        <v>-</v>
      </c>
      <c r="V2" s="1" t="str">
        <f>'N TRIBUTARIO'!U246</f>
        <v xml:space="preserve"> </v>
      </c>
      <c r="W2" s="1" t="str">
        <f>'N TRIBUTARIO'!V246</f>
        <v>ANAMOROS-1401-NORTE</v>
      </c>
      <c r="X2" s="1" t="str">
        <f>'N TRIBUTARIO'!W246</f>
        <v>1401-141079-001-0</v>
      </c>
      <c r="Y2" s="1" t="str">
        <f>'N TRIBUTARIO'!X246</f>
        <v>ANAMOROS NORTE</v>
      </c>
      <c r="Z2" s="1" t="str">
        <f>'N TRIBUTARIO'!Y246</f>
        <v>1401-141079-001-0 ANAMOROS NORTE</v>
      </c>
      <c r="AA2" s="1" t="str">
        <f>'N TRIBUTARIO'!Z246</f>
        <v>1401 ANAMOROS-NORTE</v>
      </c>
      <c r="AB2" s="1">
        <f>'N TRIBUTARIO'!AA246</f>
        <v>1155.6500000000001</v>
      </c>
      <c r="AC2" s="1">
        <f>'N TRIBUTARIO'!AB246</f>
        <v>115296</v>
      </c>
      <c r="AD2" s="1">
        <f>'N TRIBUTARIO'!AC246</f>
        <v>99.77</v>
      </c>
    </row>
    <row r="3" spans="1:30" ht="19" customHeight="1" x14ac:dyDescent="0.4">
      <c r="A3" s="1">
        <f>'N TRIBUTARIO'!A247</f>
        <v>0</v>
      </c>
      <c r="B3" s="1" t="str">
        <f>'N TRIBUTARIO'!B247</f>
        <v>14</v>
      </c>
      <c r="C3" s="1" t="str">
        <f>'N TRIBUTARIO'!C247</f>
        <v>10</v>
      </c>
      <c r="D3" s="1" t="str">
        <f>'N TRIBUTARIO'!D247</f>
        <v>79</v>
      </c>
      <c r="E3" s="1" t="str">
        <f>'N TRIBUTARIO'!E247</f>
        <v>001</v>
      </c>
      <c r="F3" s="1">
        <f>'N TRIBUTARIO'!F247</f>
        <v>0</v>
      </c>
      <c r="G3" s="1">
        <f>'N TRIBUTARIO'!G247</f>
        <v>246</v>
      </c>
      <c r="H3" s="1" t="str">
        <f>'N TRIBUTARIO'!H247</f>
        <v>1402</v>
      </c>
      <c r="I3" s="1">
        <f>'N TRIBUTARIO'!I247</f>
        <v>0</v>
      </c>
      <c r="J3" s="1" t="s">
        <v>725</v>
      </c>
      <c r="K3" s="1" t="str">
        <f>'N TRIBUTARIO'!J247</f>
        <v>BOLIVAR</v>
      </c>
      <c r="L3" s="1" t="str">
        <f>'N TRIBUTARIO'!K247</f>
        <v>NORTE</v>
      </c>
      <c r="M3" s="1" t="str">
        <f>'N TRIBUTARIO'!L247</f>
        <v>LA UNION</v>
      </c>
      <c r="N3" s="1">
        <f>'N TRIBUTARIO'!M247</f>
        <v>0</v>
      </c>
      <c r="O3" s="1">
        <f>'N TRIBUTARIO'!N247</f>
        <v>0</v>
      </c>
      <c r="P3" s="1">
        <f>'N TRIBUTARIO'!O247</f>
        <v>0</v>
      </c>
      <c r="Q3" s="1">
        <f>'N TRIBUTARIO'!P247</f>
        <v>1</v>
      </c>
      <c r="R3" s="1">
        <f>'N TRIBUTARIO'!Q247</f>
        <v>0</v>
      </c>
      <c r="S3" s="1">
        <f>'N TRIBUTARIO'!R247</f>
        <v>0</v>
      </c>
      <c r="T3" s="1">
        <f>'N TRIBUTARIO'!S247</f>
        <v>0</v>
      </c>
      <c r="U3" s="1" t="str">
        <f>'N TRIBUTARIO'!T247</f>
        <v>-</v>
      </c>
      <c r="V3" s="1" t="str">
        <f>'N TRIBUTARIO'!U247</f>
        <v xml:space="preserve"> </v>
      </c>
      <c r="W3" s="1" t="str">
        <f>'N TRIBUTARIO'!V247</f>
        <v>BOLIVAR-1402-NORTE</v>
      </c>
      <c r="X3" s="1" t="str">
        <f>'N TRIBUTARIO'!W247</f>
        <v>1402-141079-001-0</v>
      </c>
      <c r="Y3" s="1" t="str">
        <f>'N TRIBUTARIO'!X247</f>
        <v>BOLIVAR NORTE</v>
      </c>
      <c r="Z3" s="1" t="str">
        <f>'N TRIBUTARIO'!Y247</f>
        <v>1402-141079-001-0 BOLIVAR NORTE</v>
      </c>
      <c r="AA3" s="1" t="str">
        <f>'N TRIBUTARIO'!Z247</f>
        <v>1402 BOLIVAR-NORTE</v>
      </c>
      <c r="AB3" s="1">
        <f>'N TRIBUTARIO'!AA247</f>
        <v>0</v>
      </c>
      <c r="AC3" s="1">
        <f>'N TRIBUTARIO'!AB247</f>
        <v>0</v>
      </c>
      <c r="AD3" s="1">
        <f>'N TRIBUTARIO'!AC247</f>
        <v>0</v>
      </c>
    </row>
    <row r="4" spans="1:30" ht="19" customHeight="1" x14ac:dyDescent="0.4">
      <c r="A4" s="1">
        <f>'N TRIBUTARIO'!A248</f>
        <v>0</v>
      </c>
      <c r="B4" s="1" t="str">
        <f>'N TRIBUTARIO'!B248</f>
        <v>14</v>
      </c>
      <c r="C4" s="1" t="str">
        <f>'N TRIBUTARIO'!C248</f>
        <v>10</v>
      </c>
      <c r="D4" s="1" t="str">
        <f>'N TRIBUTARIO'!D248</f>
        <v>79</v>
      </c>
      <c r="E4" s="1" t="str">
        <f>'N TRIBUTARIO'!E248</f>
        <v>001</v>
      </c>
      <c r="F4" s="1">
        <f>'N TRIBUTARIO'!F248</f>
        <v>0</v>
      </c>
      <c r="G4" s="1">
        <f>'N TRIBUTARIO'!G248</f>
        <v>247</v>
      </c>
      <c r="H4" s="1" t="str">
        <f>'N TRIBUTARIO'!H248</f>
        <v>1403</v>
      </c>
      <c r="I4" s="1">
        <f>'N TRIBUTARIO'!I248</f>
        <v>0</v>
      </c>
      <c r="J4" s="1" t="s">
        <v>725</v>
      </c>
      <c r="K4" s="1" t="str">
        <f>'N TRIBUTARIO'!J248</f>
        <v>CONCEPCION DE ORIENTE</v>
      </c>
      <c r="L4" s="1" t="str">
        <f>'N TRIBUTARIO'!K248</f>
        <v>NORTE</v>
      </c>
      <c r="M4" s="1" t="str">
        <f>'N TRIBUTARIO'!L248</f>
        <v>LA UNION</v>
      </c>
      <c r="N4" s="1">
        <f>'N TRIBUTARIO'!M248</f>
        <v>0</v>
      </c>
      <c r="O4" s="1">
        <f>'N TRIBUTARIO'!N248</f>
        <v>0</v>
      </c>
      <c r="P4" s="1">
        <f>'N TRIBUTARIO'!O248</f>
        <v>0</v>
      </c>
      <c r="Q4" s="1">
        <f>'N TRIBUTARIO'!P248</f>
        <v>1</v>
      </c>
      <c r="R4" s="1">
        <f>'N TRIBUTARIO'!Q248</f>
        <v>0</v>
      </c>
      <c r="S4" s="1">
        <f>'N TRIBUTARIO'!R248</f>
        <v>0</v>
      </c>
      <c r="T4" s="1">
        <f>'N TRIBUTARIO'!S248</f>
        <v>0</v>
      </c>
      <c r="U4" s="1" t="str">
        <f>'N TRIBUTARIO'!T248</f>
        <v>-</v>
      </c>
      <c r="V4" s="1" t="str">
        <f>'N TRIBUTARIO'!U248</f>
        <v xml:space="preserve"> </v>
      </c>
      <c r="W4" s="1" t="str">
        <f>'N TRIBUTARIO'!V248</f>
        <v>CONCEPCION DE ORIENTE-1403-NORTE</v>
      </c>
      <c r="X4" s="1" t="str">
        <f>'N TRIBUTARIO'!W248</f>
        <v>1403-141079-001-0</v>
      </c>
      <c r="Y4" s="1" t="str">
        <f>'N TRIBUTARIO'!X248</f>
        <v>CONCEPCION DE ORIENTE NORTE</v>
      </c>
      <c r="Z4" s="1" t="str">
        <f>'N TRIBUTARIO'!Y248</f>
        <v>1403-141079-001-0 CONCEPCION DE ORIENTE NORTE</v>
      </c>
      <c r="AA4" s="1" t="str">
        <f>'N TRIBUTARIO'!Z248</f>
        <v>1403 CONCEPCION DE ORIENTE-NORTE</v>
      </c>
      <c r="AB4" s="1">
        <f>'N TRIBUTARIO'!AA248</f>
        <v>0</v>
      </c>
      <c r="AC4" s="1">
        <f>'N TRIBUTARIO'!AB248</f>
        <v>0</v>
      </c>
      <c r="AD4" s="1">
        <f>'N TRIBUTARIO'!AC248</f>
        <v>0</v>
      </c>
    </row>
    <row r="5" spans="1:30" ht="19" customHeight="1" x14ac:dyDescent="0.4">
      <c r="A5" s="1" t="str">
        <f>'N TRIBUTARIO'!A249</f>
        <v>S1</v>
      </c>
      <c r="B5" s="1" t="str">
        <f>'N TRIBUTARIO'!B249</f>
        <v>14</v>
      </c>
      <c r="C5" s="1" t="str">
        <f>'N TRIBUTARIO'!C249</f>
        <v>10</v>
      </c>
      <c r="D5" s="1" t="str">
        <f>'N TRIBUTARIO'!D249</f>
        <v>79</v>
      </c>
      <c r="E5" s="1" t="str">
        <f>'N TRIBUTARIO'!E249</f>
        <v>001</v>
      </c>
      <c r="F5" s="1">
        <f>'N TRIBUTARIO'!F249</f>
        <v>0</v>
      </c>
      <c r="G5" s="1">
        <f>'N TRIBUTARIO'!G249</f>
        <v>248</v>
      </c>
      <c r="H5" s="1" t="str">
        <f>'N TRIBUTARIO'!H249</f>
        <v>1404</v>
      </c>
      <c r="I5" s="1">
        <f>'N TRIBUTARIO'!I249</f>
        <v>0</v>
      </c>
      <c r="J5" s="1" t="s">
        <v>725</v>
      </c>
      <c r="K5" s="1" t="str">
        <f>'N TRIBUTARIO'!J249</f>
        <v>CONCHAGUA</v>
      </c>
      <c r="L5" s="1" t="str">
        <f>'N TRIBUTARIO'!K249</f>
        <v>SUR</v>
      </c>
      <c r="M5" s="1" t="str">
        <f>'N TRIBUTARIO'!L249</f>
        <v>LA UNION</v>
      </c>
      <c r="N5" s="1">
        <f>'N TRIBUTARIO'!M249</f>
        <v>0</v>
      </c>
      <c r="O5" s="1">
        <f>'N TRIBUTARIO'!N249</f>
        <v>0</v>
      </c>
      <c r="P5" s="1">
        <f>'N TRIBUTARIO'!O249</f>
        <v>0</v>
      </c>
      <c r="Q5" s="1">
        <f>'N TRIBUTARIO'!P249</f>
        <v>0</v>
      </c>
      <c r="R5" s="1">
        <f>'N TRIBUTARIO'!Q249</f>
        <v>0</v>
      </c>
      <c r="S5" s="1">
        <f>'N TRIBUTARIO'!R249</f>
        <v>1</v>
      </c>
      <c r="T5" s="1">
        <f>'N TRIBUTARIO'!S249</f>
        <v>0</v>
      </c>
      <c r="U5" s="1" t="str">
        <f>'N TRIBUTARIO'!T249</f>
        <v>-</v>
      </c>
      <c r="V5" s="1" t="str">
        <f>'N TRIBUTARIO'!U249</f>
        <v xml:space="preserve"> </v>
      </c>
      <c r="W5" s="1" t="str">
        <f>'N TRIBUTARIO'!V249</f>
        <v>CONCHAGUA-1404-SUR</v>
      </c>
      <c r="X5" s="1" t="str">
        <f>'N TRIBUTARIO'!W249</f>
        <v>1404-141079-001-0</v>
      </c>
      <c r="Y5" s="1" t="str">
        <f>'N TRIBUTARIO'!X249</f>
        <v>CONCHAGUA SUR</v>
      </c>
      <c r="Z5" s="1" t="str">
        <f>'N TRIBUTARIO'!Y249</f>
        <v>1404-141079-001-0 CONCHAGUA SUR</v>
      </c>
      <c r="AA5" s="1" t="str">
        <f>'N TRIBUTARIO'!Z249</f>
        <v>1404 CONCHAGUA-SUR</v>
      </c>
      <c r="AB5" s="1">
        <f>'N TRIBUTARIO'!AA249</f>
        <v>918.74</v>
      </c>
      <c r="AC5" s="1">
        <f>'N TRIBUTARIO'!AB249</f>
        <v>124964</v>
      </c>
      <c r="AD5" s="1">
        <f>'N TRIBUTARIO'!AC249</f>
        <v>136.02000000000001</v>
      </c>
    </row>
    <row r="6" spans="1:30" ht="19" customHeight="1" x14ac:dyDescent="0.4">
      <c r="A6" s="1">
        <f>'N TRIBUTARIO'!A250</f>
        <v>0</v>
      </c>
      <c r="B6" s="1" t="str">
        <f>'N TRIBUTARIO'!B250</f>
        <v>14</v>
      </c>
      <c r="C6" s="1" t="str">
        <f>'N TRIBUTARIO'!C250</f>
        <v>10</v>
      </c>
      <c r="D6" s="1" t="str">
        <f>'N TRIBUTARIO'!D250</f>
        <v>79</v>
      </c>
      <c r="E6" s="1" t="str">
        <f>'N TRIBUTARIO'!E250</f>
        <v>001</v>
      </c>
      <c r="F6" s="1">
        <f>'N TRIBUTARIO'!F250</f>
        <v>0</v>
      </c>
      <c r="G6" s="1">
        <f>'N TRIBUTARIO'!G250</f>
        <v>249</v>
      </c>
      <c r="H6" s="1" t="str">
        <f>'N TRIBUTARIO'!H250</f>
        <v>1405</v>
      </c>
      <c r="I6" s="1">
        <f>'N TRIBUTARIO'!I250</f>
        <v>0</v>
      </c>
      <c r="J6" s="1" t="s">
        <v>725</v>
      </c>
      <c r="K6" s="1" t="str">
        <f>'N TRIBUTARIO'!J250</f>
        <v>EL CARMEN</v>
      </c>
      <c r="L6" s="1" t="str">
        <f>'N TRIBUTARIO'!K250</f>
        <v>SUR</v>
      </c>
      <c r="M6" s="1" t="str">
        <f>'N TRIBUTARIO'!L250</f>
        <v>LA UNION</v>
      </c>
      <c r="N6" s="1">
        <f>'N TRIBUTARIO'!M250</f>
        <v>0</v>
      </c>
      <c r="O6" s="1">
        <f>'N TRIBUTARIO'!N250</f>
        <v>0</v>
      </c>
      <c r="P6" s="1">
        <f>'N TRIBUTARIO'!O250</f>
        <v>0</v>
      </c>
      <c r="Q6" s="1">
        <f>'N TRIBUTARIO'!P250</f>
        <v>0</v>
      </c>
      <c r="R6" s="1">
        <f>'N TRIBUTARIO'!Q250</f>
        <v>0</v>
      </c>
      <c r="S6" s="1">
        <f>'N TRIBUTARIO'!R250</f>
        <v>1</v>
      </c>
      <c r="T6" s="1">
        <f>'N TRIBUTARIO'!S250</f>
        <v>0</v>
      </c>
      <c r="U6" s="1" t="str">
        <f>'N TRIBUTARIO'!T250</f>
        <v>-</v>
      </c>
      <c r="V6" s="1" t="str">
        <f>'N TRIBUTARIO'!U250</f>
        <v xml:space="preserve"> </v>
      </c>
      <c r="W6" s="1" t="str">
        <f>'N TRIBUTARIO'!V250</f>
        <v>EL CARMEN-1405-SUR</v>
      </c>
      <c r="X6" s="1" t="str">
        <f>'N TRIBUTARIO'!W250</f>
        <v>1405-141079-001-0</v>
      </c>
      <c r="Y6" s="1" t="str">
        <f>'N TRIBUTARIO'!X250</f>
        <v>EL CARMEN SUR</v>
      </c>
      <c r="Z6" s="1" t="str">
        <f>'N TRIBUTARIO'!Y250</f>
        <v>1405-141079-001-0 EL CARMEN SUR</v>
      </c>
      <c r="AA6" s="1" t="str">
        <f>'N TRIBUTARIO'!Z250</f>
        <v>1405 EL CARMEN-SUR</v>
      </c>
      <c r="AB6" s="1">
        <f>'N TRIBUTARIO'!AA250</f>
        <v>0</v>
      </c>
      <c r="AC6" s="1">
        <f>'N TRIBUTARIO'!AB250</f>
        <v>0</v>
      </c>
      <c r="AD6" s="1">
        <f>'N TRIBUTARIO'!AC250</f>
        <v>0</v>
      </c>
    </row>
    <row r="7" spans="1:30" ht="19" customHeight="1" x14ac:dyDescent="0.4">
      <c r="A7" s="1">
        <f>'N TRIBUTARIO'!A251</f>
        <v>0</v>
      </c>
      <c r="B7" s="1" t="str">
        <f>'N TRIBUTARIO'!B251</f>
        <v>14</v>
      </c>
      <c r="C7" s="1" t="str">
        <f>'N TRIBUTARIO'!C251</f>
        <v>10</v>
      </c>
      <c r="D7" s="1" t="str">
        <f>'N TRIBUTARIO'!D251</f>
        <v>79</v>
      </c>
      <c r="E7" s="1" t="str">
        <f>'N TRIBUTARIO'!E251</f>
        <v>001</v>
      </c>
      <c r="F7" s="1">
        <f>'N TRIBUTARIO'!F251</f>
        <v>0</v>
      </c>
      <c r="G7" s="1">
        <f>'N TRIBUTARIO'!G251</f>
        <v>250</v>
      </c>
      <c r="H7" s="1" t="str">
        <f>'N TRIBUTARIO'!H251</f>
        <v>1406</v>
      </c>
      <c r="I7" s="1">
        <f>'N TRIBUTARIO'!I251</f>
        <v>0</v>
      </c>
      <c r="J7" s="1" t="s">
        <v>725</v>
      </c>
      <c r="K7" s="1" t="str">
        <f>'N TRIBUTARIO'!J251</f>
        <v>EL SAUCE</v>
      </c>
      <c r="L7" s="1" t="str">
        <f>'N TRIBUTARIO'!K251</f>
        <v>NORTE</v>
      </c>
      <c r="M7" s="1" t="str">
        <f>'N TRIBUTARIO'!L251</f>
        <v>LA UNION</v>
      </c>
      <c r="N7" s="1">
        <f>'N TRIBUTARIO'!M251</f>
        <v>0</v>
      </c>
      <c r="O7" s="1">
        <f>'N TRIBUTARIO'!N251</f>
        <v>0</v>
      </c>
      <c r="P7" s="1">
        <f>'N TRIBUTARIO'!O251</f>
        <v>0</v>
      </c>
      <c r="Q7" s="1">
        <f>'N TRIBUTARIO'!P251</f>
        <v>1</v>
      </c>
      <c r="R7" s="1">
        <f>'N TRIBUTARIO'!Q251</f>
        <v>0</v>
      </c>
      <c r="S7" s="1">
        <f>'N TRIBUTARIO'!R251</f>
        <v>0</v>
      </c>
      <c r="T7" s="1">
        <f>'N TRIBUTARIO'!S251</f>
        <v>0</v>
      </c>
      <c r="U7" s="1" t="str">
        <f>'N TRIBUTARIO'!T251</f>
        <v>-</v>
      </c>
      <c r="V7" s="1" t="str">
        <f>'N TRIBUTARIO'!U251</f>
        <v xml:space="preserve"> </v>
      </c>
      <c r="W7" s="1" t="str">
        <f>'N TRIBUTARIO'!V251</f>
        <v>EL SAUCE-1406-NORTE</v>
      </c>
      <c r="X7" s="1" t="str">
        <f>'N TRIBUTARIO'!W251</f>
        <v>1406-141079-001-0</v>
      </c>
      <c r="Y7" s="1" t="str">
        <f>'N TRIBUTARIO'!X251</f>
        <v>EL SAUCE NORTE</v>
      </c>
      <c r="Z7" s="1" t="str">
        <f>'N TRIBUTARIO'!Y251</f>
        <v>1406-141079-001-0 EL SAUCE NORTE</v>
      </c>
      <c r="AA7" s="1" t="str">
        <f>'N TRIBUTARIO'!Z251</f>
        <v>1406 EL SAUCE-NORTE</v>
      </c>
      <c r="AB7" s="1">
        <f>'N TRIBUTARIO'!AA251</f>
        <v>0</v>
      </c>
      <c r="AC7" s="1">
        <f>'N TRIBUTARIO'!AB251</f>
        <v>0</v>
      </c>
      <c r="AD7" s="1">
        <f>'N TRIBUTARIO'!AC251</f>
        <v>0</v>
      </c>
    </row>
    <row r="8" spans="1:30" ht="19" customHeight="1" x14ac:dyDescent="0.4">
      <c r="A8" s="1">
        <f>'N TRIBUTARIO'!A252</f>
        <v>0</v>
      </c>
      <c r="B8" s="1" t="str">
        <f>'N TRIBUTARIO'!B252</f>
        <v>14</v>
      </c>
      <c r="C8" s="1" t="str">
        <f>'N TRIBUTARIO'!C252</f>
        <v>10</v>
      </c>
      <c r="D8" s="1" t="str">
        <f>'N TRIBUTARIO'!D252</f>
        <v>79</v>
      </c>
      <c r="E8" s="1" t="str">
        <f>'N TRIBUTARIO'!E252</f>
        <v>001</v>
      </c>
      <c r="F8" s="1">
        <f>'N TRIBUTARIO'!F252</f>
        <v>0</v>
      </c>
      <c r="G8" s="1">
        <f>'N TRIBUTARIO'!G252</f>
        <v>251</v>
      </c>
      <c r="H8" s="1" t="str">
        <f>'N TRIBUTARIO'!H252</f>
        <v>1407</v>
      </c>
      <c r="I8" s="1">
        <f>'N TRIBUTARIO'!I252</f>
        <v>0</v>
      </c>
      <c r="J8" s="1" t="s">
        <v>725</v>
      </c>
      <c r="K8" s="1" t="str">
        <f>'N TRIBUTARIO'!J252</f>
        <v>INTIPUCA</v>
      </c>
      <c r="L8" s="1" t="str">
        <f>'N TRIBUTARIO'!K252</f>
        <v>SUR</v>
      </c>
      <c r="M8" s="1" t="str">
        <f>'N TRIBUTARIO'!L252</f>
        <v>LA UNION</v>
      </c>
      <c r="N8" s="1">
        <f>'N TRIBUTARIO'!M252</f>
        <v>0</v>
      </c>
      <c r="O8" s="1">
        <f>'N TRIBUTARIO'!N252</f>
        <v>0</v>
      </c>
      <c r="P8" s="1">
        <f>'N TRIBUTARIO'!O252</f>
        <v>0</v>
      </c>
      <c r="Q8" s="1">
        <f>'N TRIBUTARIO'!P252</f>
        <v>0</v>
      </c>
      <c r="R8" s="1">
        <f>'N TRIBUTARIO'!Q252</f>
        <v>0</v>
      </c>
      <c r="S8" s="1">
        <f>'N TRIBUTARIO'!R252</f>
        <v>1</v>
      </c>
      <c r="T8" s="1">
        <f>'N TRIBUTARIO'!S252</f>
        <v>0</v>
      </c>
      <c r="U8" s="1" t="str">
        <f>'N TRIBUTARIO'!T252</f>
        <v>-</v>
      </c>
      <c r="V8" s="1" t="str">
        <f>'N TRIBUTARIO'!U252</f>
        <v xml:space="preserve"> </v>
      </c>
      <c r="W8" s="1" t="str">
        <f>'N TRIBUTARIO'!V252</f>
        <v>INTIPUCA-1407-SUR</v>
      </c>
      <c r="X8" s="1" t="str">
        <f>'N TRIBUTARIO'!W252</f>
        <v>1407-141079-001-0</v>
      </c>
      <c r="Y8" s="1" t="str">
        <f>'N TRIBUTARIO'!X252</f>
        <v>INTIPUCA SUR</v>
      </c>
      <c r="Z8" s="1" t="str">
        <f>'N TRIBUTARIO'!Y252</f>
        <v>1407-141079-001-0 INTIPUCA SUR</v>
      </c>
      <c r="AA8" s="1" t="str">
        <f>'N TRIBUTARIO'!Z252</f>
        <v>1407 INTIPUCA-SUR</v>
      </c>
      <c r="AB8" s="1">
        <f>'N TRIBUTARIO'!AA252</f>
        <v>0</v>
      </c>
      <c r="AC8" s="1">
        <f>'N TRIBUTARIO'!AB252</f>
        <v>0</v>
      </c>
      <c r="AD8" s="1">
        <f>'N TRIBUTARIO'!AC252</f>
        <v>0</v>
      </c>
    </row>
    <row r="9" spans="1:30" ht="19" customHeight="1" x14ac:dyDescent="0.4">
      <c r="A9" s="1">
        <f>'N TRIBUTARIO'!A253</f>
        <v>0</v>
      </c>
      <c r="B9" s="1" t="str">
        <f>'N TRIBUTARIO'!B253</f>
        <v>01</v>
      </c>
      <c r="C9" s="1" t="str">
        <f>'N TRIBUTARIO'!C253</f>
        <v>06</v>
      </c>
      <c r="D9" s="1" t="str">
        <f>'N TRIBUTARIO'!D253</f>
        <v>11</v>
      </c>
      <c r="E9" s="1" t="str">
        <f>'N TRIBUTARIO'!E253</f>
        <v>001</v>
      </c>
      <c r="F9" s="1">
        <f>'N TRIBUTARIO'!F253</f>
        <v>9</v>
      </c>
      <c r="G9" s="1">
        <f>'N TRIBUTARIO'!G253</f>
        <v>252</v>
      </c>
      <c r="H9" s="1" t="str">
        <f>'N TRIBUTARIO'!H253</f>
        <v>1408</v>
      </c>
      <c r="I9" s="1">
        <f>'N TRIBUTARIO'!I253</f>
        <v>14</v>
      </c>
      <c r="J9" s="1" t="s">
        <v>725</v>
      </c>
      <c r="K9" s="1" t="str">
        <f>'N TRIBUTARIO'!J253</f>
        <v>LA UNION</v>
      </c>
      <c r="L9" s="1" t="str">
        <f>'N TRIBUTARIO'!K253</f>
        <v>SUR</v>
      </c>
      <c r="M9" s="1" t="str">
        <f>'N TRIBUTARIO'!L253</f>
        <v>LA UNION</v>
      </c>
      <c r="N9" s="1">
        <f>'N TRIBUTARIO'!M253</f>
        <v>0</v>
      </c>
      <c r="O9" s="1">
        <f>'N TRIBUTARIO'!N253</f>
        <v>0</v>
      </c>
      <c r="P9" s="1">
        <f>'N TRIBUTARIO'!O253</f>
        <v>0</v>
      </c>
      <c r="Q9" s="1">
        <f>'N TRIBUTARIO'!P253</f>
        <v>0</v>
      </c>
      <c r="R9" s="1">
        <f>'N TRIBUTARIO'!Q253</f>
        <v>0</v>
      </c>
      <c r="S9" s="1">
        <f>'N TRIBUTARIO'!R253</f>
        <v>1</v>
      </c>
      <c r="T9" s="1">
        <f>'N TRIBUTARIO'!S253</f>
        <v>0</v>
      </c>
      <c r="U9" s="1" t="str">
        <f>'N TRIBUTARIO'!T253</f>
        <v>-</v>
      </c>
      <c r="V9" s="1" t="str">
        <f>'N TRIBUTARIO'!U253</f>
        <v xml:space="preserve"> </v>
      </c>
      <c r="W9" s="1" t="str">
        <f>'N TRIBUTARIO'!V253</f>
        <v>LA UNION-1408-SUR</v>
      </c>
      <c r="X9" s="1" t="str">
        <f>'N TRIBUTARIO'!W253</f>
        <v>1408-010611-001-9</v>
      </c>
      <c r="Y9" s="1" t="str">
        <f>'N TRIBUTARIO'!X253</f>
        <v>LA UNION SUR</v>
      </c>
      <c r="Z9" s="1" t="str">
        <f>'N TRIBUTARIO'!Y253</f>
        <v>1408-010611-001-9 LA UNION SUR</v>
      </c>
      <c r="AA9" s="1" t="str">
        <f>'N TRIBUTARIO'!Z253</f>
        <v>1408 LA UNION-SUR</v>
      </c>
      <c r="AB9" s="1">
        <f>'N TRIBUTARIO'!AA253</f>
        <v>0</v>
      </c>
      <c r="AC9" s="1">
        <f>'N TRIBUTARIO'!AB253</f>
        <v>0</v>
      </c>
      <c r="AD9" s="1">
        <f>'N TRIBUTARIO'!AC253</f>
        <v>0</v>
      </c>
    </row>
    <row r="10" spans="1:30" ht="19" customHeight="1" x14ac:dyDescent="0.4">
      <c r="A10" s="1">
        <f>'N TRIBUTARIO'!A254</f>
        <v>0</v>
      </c>
      <c r="B10" s="1" t="str">
        <f>'N TRIBUTARIO'!B254</f>
        <v>14</v>
      </c>
      <c r="C10" s="1" t="str">
        <f>'N TRIBUTARIO'!C254</f>
        <v>10</v>
      </c>
      <c r="D10" s="1" t="str">
        <f>'N TRIBUTARIO'!D254</f>
        <v>79</v>
      </c>
      <c r="E10" s="1" t="str">
        <f>'N TRIBUTARIO'!E254</f>
        <v>001</v>
      </c>
      <c r="F10" s="1">
        <f>'N TRIBUTARIO'!F254</f>
        <v>0</v>
      </c>
      <c r="G10" s="1">
        <f>'N TRIBUTARIO'!G254</f>
        <v>253</v>
      </c>
      <c r="H10" s="1" t="str">
        <f>'N TRIBUTARIO'!H254</f>
        <v>1409</v>
      </c>
      <c r="I10" s="1">
        <f>'N TRIBUTARIO'!I254</f>
        <v>0</v>
      </c>
      <c r="J10" s="1" t="s">
        <v>725</v>
      </c>
      <c r="K10" s="1" t="str">
        <f>'N TRIBUTARIO'!J254</f>
        <v>LISLIQUE</v>
      </c>
      <c r="L10" s="1" t="str">
        <f>'N TRIBUTARIO'!K254</f>
        <v>NORTE</v>
      </c>
      <c r="M10" s="1" t="str">
        <f>'N TRIBUTARIO'!L254</f>
        <v>LA UNION</v>
      </c>
      <c r="N10" s="1">
        <f>'N TRIBUTARIO'!M254</f>
        <v>0</v>
      </c>
      <c r="O10" s="1">
        <f>'N TRIBUTARIO'!N254</f>
        <v>0</v>
      </c>
      <c r="P10" s="1">
        <f>'N TRIBUTARIO'!O254</f>
        <v>0</v>
      </c>
      <c r="Q10" s="1">
        <f>'N TRIBUTARIO'!P254</f>
        <v>1</v>
      </c>
      <c r="R10" s="1">
        <f>'N TRIBUTARIO'!Q254</f>
        <v>0</v>
      </c>
      <c r="S10" s="1">
        <f>'N TRIBUTARIO'!R254</f>
        <v>0</v>
      </c>
      <c r="T10" s="1">
        <f>'N TRIBUTARIO'!S254</f>
        <v>0</v>
      </c>
      <c r="U10" s="1" t="str">
        <f>'N TRIBUTARIO'!T254</f>
        <v>-</v>
      </c>
      <c r="V10" s="1" t="str">
        <f>'N TRIBUTARIO'!U254</f>
        <v xml:space="preserve"> </v>
      </c>
      <c r="W10" s="1" t="str">
        <f>'N TRIBUTARIO'!V254</f>
        <v>LISLIQUE-1409-NORTE</v>
      </c>
      <c r="X10" s="1" t="str">
        <f>'N TRIBUTARIO'!W254</f>
        <v>1409-141079-001-0</v>
      </c>
      <c r="Y10" s="1" t="str">
        <f>'N TRIBUTARIO'!X254</f>
        <v>LISLIQUE NORTE</v>
      </c>
      <c r="Z10" s="1" t="str">
        <f>'N TRIBUTARIO'!Y254</f>
        <v>1409-141079-001-0 LISLIQUE NORTE</v>
      </c>
      <c r="AA10" s="1" t="str">
        <f>'N TRIBUTARIO'!Z254</f>
        <v>1409 LISLIQUE-NORTE</v>
      </c>
      <c r="AB10" s="1">
        <f>'N TRIBUTARIO'!AA254</f>
        <v>0</v>
      </c>
      <c r="AC10" s="1">
        <f>'N TRIBUTARIO'!AB254</f>
        <v>0</v>
      </c>
      <c r="AD10" s="1">
        <f>'N TRIBUTARIO'!AC254</f>
        <v>0</v>
      </c>
    </row>
    <row r="11" spans="1:30" ht="19" customHeight="1" x14ac:dyDescent="0.4">
      <c r="A11" s="1">
        <f>'N TRIBUTARIO'!A255</f>
        <v>0</v>
      </c>
      <c r="B11" s="1" t="str">
        <f>'N TRIBUTARIO'!B255</f>
        <v>17</v>
      </c>
      <c r="C11" s="1" t="str">
        <f>'N TRIBUTARIO'!C255</f>
        <v>06</v>
      </c>
      <c r="D11" s="1" t="str">
        <f>'N TRIBUTARIO'!D255</f>
        <v>16</v>
      </c>
      <c r="E11" s="1" t="str">
        <f>'N TRIBUTARIO'!E255</f>
        <v>001</v>
      </c>
      <c r="F11" s="1">
        <f>'N TRIBUTARIO'!F255</f>
        <v>9</v>
      </c>
      <c r="G11" s="1">
        <f>'N TRIBUTARIO'!G255</f>
        <v>254</v>
      </c>
      <c r="H11" s="1" t="str">
        <f>'N TRIBUTARIO'!H255</f>
        <v>1410</v>
      </c>
      <c r="I11" s="1">
        <f>'N TRIBUTARIO'!I255</f>
        <v>0</v>
      </c>
      <c r="J11" s="1" t="s">
        <v>725</v>
      </c>
      <c r="K11" s="1" t="str">
        <f>'N TRIBUTARIO'!J255</f>
        <v>MEANGUERA DEL GOLFO</v>
      </c>
      <c r="L11" s="1" t="str">
        <f>'N TRIBUTARIO'!K255</f>
        <v>SUR</v>
      </c>
      <c r="M11" s="1" t="str">
        <f>'N TRIBUTARIO'!L255</f>
        <v>LA UNION</v>
      </c>
      <c r="N11" s="1">
        <f>'N TRIBUTARIO'!M255</f>
        <v>0</v>
      </c>
      <c r="O11" s="1">
        <f>'N TRIBUTARIO'!N255</f>
        <v>0</v>
      </c>
      <c r="P11" s="1">
        <f>'N TRIBUTARIO'!O255</f>
        <v>0</v>
      </c>
      <c r="Q11" s="1">
        <f>'N TRIBUTARIO'!P255</f>
        <v>0</v>
      </c>
      <c r="R11" s="1">
        <f>'N TRIBUTARIO'!Q255</f>
        <v>0</v>
      </c>
      <c r="S11" s="1">
        <f>'N TRIBUTARIO'!R255</f>
        <v>1</v>
      </c>
      <c r="T11" s="1">
        <f>'N TRIBUTARIO'!S255</f>
        <v>0</v>
      </c>
      <c r="U11" s="1" t="str">
        <f>'N TRIBUTARIO'!T255</f>
        <v>-</v>
      </c>
      <c r="V11" s="1" t="str">
        <f>'N TRIBUTARIO'!U255</f>
        <v xml:space="preserve"> </v>
      </c>
      <c r="W11" s="1" t="str">
        <f>'N TRIBUTARIO'!V255</f>
        <v>MEANGUERA DEL GOLFO-1410-SUR</v>
      </c>
      <c r="X11" s="1" t="str">
        <f>'N TRIBUTARIO'!W255</f>
        <v>1410-170616-001-9</v>
      </c>
      <c r="Y11" s="1" t="str">
        <f>'N TRIBUTARIO'!X255</f>
        <v>MEANGUERA DEL GOLFO SUR</v>
      </c>
      <c r="Z11" s="1" t="str">
        <f>'N TRIBUTARIO'!Y255</f>
        <v>1410-170616-001-9 MEANGUERA DEL GOLFO SUR</v>
      </c>
      <c r="AA11" s="1" t="str">
        <f>'N TRIBUTARIO'!Z255</f>
        <v>1410 MEANGUERA DEL GOLFO-SUR</v>
      </c>
      <c r="AB11" s="1">
        <f>'N TRIBUTARIO'!AA255</f>
        <v>0</v>
      </c>
      <c r="AC11" s="1">
        <f>'N TRIBUTARIO'!AB255</f>
        <v>0</v>
      </c>
      <c r="AD11" s="1">
        <f>'N TRIBUTARIO'!AC255</f>
        <v>0</v>
      </c>
    </row>
    <row r="12" spans="1:30" ht="19" customHeight="1" x14ac:dyDescent="0.4">
      <c r="A12" s="1">
        <f>'N TRIBUTARIO'!A256</f>
        <v>0</v>
      </c>
      <c r="B12" s="1" t="str">
        <f>'N TRIBUTARIO'!B256</f>
        <v>14</v>
      </c>
      <c r="C12" s="1" t="str">
        <f>'N TRIBUTARIO'!C256</f>
        <v>10</v>
      </c>
      <c r="D12" s="1" t="str">
        <f>'N TRIBUTARIO'!D256</f>
        <v>79</v>
      </c>
      <c r="E12" s="1" t="str">
        <f>'N TRIBUTARIO'!E256</f>
        <v>001</v>
      </c>
      <c r="F12" s="1">
        <f>'N TRIBUTARIO'!F256</f>
        <v>1</v>
      </c>
      <c r="G12" s="1">
        <f>'N TRIBUTARIO'!G256</f>
        <v>255</v>
      </c>
      <c r="H12" s="1" t="str">
        <f>'N TRIBUTARIO'!H256</f>
        <v>1411</v>
      </c>
      <c r="I12" s="1">
        <f>'N TRIBUTARIO'!I256</f>
        <v>0</v>
      </c>
      <c r="J12" s="1" t="s">
        <v>725</v>
      </c>
      <c r="K12" s="1" t="str">
        <f>'N TRIBUTARIO'!J256</f>
        <v>NUEVA ESPARTA</v>
      </c>
      <c r="L12" s="1" t="str">
        <f>'N TRIBUTARIO'!K256</f>
        <v>NORTE</v>
      </c>
      <c r="M12" s="1" t="str">
        <f>'N TRIBUTARIO'!L256</f>
        <v>LA UNION</v>
      </c>
      <c r="N12" s="1">
        <f>'N TRIBUTARIO'!M256</f>
        <v>0</v>
      </c>
      <c r="O12" s="1">
        <f>'N TRIBUTARIO'!N256</f>
        <v>0</v>
      </c>
      <c r="P12" s="1">
        <f>'N TRIBUTARIO'!O256</f>
        <v>0</v>
      </c>
      <c r="Q12" s="1">
        <f>'N TRIBUTARIO'!P256</f>
        <v>1</v>
      </c>
      <c r="R12" s="1">
        <f>'N TRIBUTARIO'!Q256</f>
        <v>0</v>
      </c>
      <c r="S12" s="1">
        <f>'N TRIBUTARIO'!R256</f>
        <v>0</v>
      </c>
      <c r="T12" s="1">
        <f>'N TRIBUTARIO'!S256</f>
        <v>0</v>
      </c>
      <c r="U12" s="1" t="str">
        <f>'N TRIBUTARIO'!T256</f>
        <v>-</v>
      </c>
      <c r="V12" s="1" t="str">
        <f>'N TRIBUTARIO'!U256</f>
        <v xml:space="preserve"> </v>
      </c>
      <c r="W12" s="1" t="str">
        <f>'N TRIBUTARIO'!V256</f>
        <v>NUEVA ESPARTA-1411-NORTE</v>
      </c>
      <c r="X12" s="1" t="str">
        <f>'N TRIBUTARIO'!W256</f>
        <v>1411-141079-001-1</v>
      </c>
      <c r="Y12" s="1" t="str">
        <f>'N TRIBUTARIO'!X256</f>
        <v>NUEVA ESPARTA NORTE</v>
      </c>
      <c r="Z12" s="1" t="str">
        <f>'N TRIBUTARIO'!Y256</f>
        <v>1411-141079-001-1 NUEVA ESPARTA NORTE</v>
      </c>
      <c r="AA12" s="1" t="str">
        <f>'N TRIBUTARIO'!Z256</f>
        <v>1411 NUEVA ESPARTA-NORTE</v>
      </c>
      <c r="AB12" s="1">
        <f>'N TRIBUTARIO'!AA256</f>
        <v>0</v>
      </c>
      <c r="AC12" s="1">
        <f>'N TRIBUTARIO'!AB256</f>
        <v>0</v>
      </c>
      <c r="AD12" s="1">
        <f>'N TRIBUTARIO'!AC256</f>
        <v>0</v>
      </c>
    </row>
    <row r="13" spans="1:30" ht="19" customHeight="1" x14ac:dyDescent="0.4">
      <c r="A13" s="1">
        <f>'N TRIBUTARIO'!A257</f>
        <v>0</v>
      </c>
      <c r="B13" s="1" t="str">
        <f>'N TRIBUTARIO'!B257</f>
        <v>14</v>
      </c>
      <c r="C13" s="1" t="str">
        <f>'N TRIBUTARIO'!C257</f>
        <v>10</v>
      </c>
      <c r="D13" s="1" t="str">
        <f>'N TRIBUTARIO'!D257</f>
        <v>79</v>
      </c>
      <c r="E13" s="1" t="str">
        <f>'N TRIBUTARIO'!E257</f>
        <v>001</v>
      </c>
      <c r="F13" s="1">
        <f>'N TRIBUTARIO'!F257</f>
        <v>1</v>
      </c>
      <c r="G13" s="1">
        <f>'N TRIBUTARIO'!G257</f>
        <v>256</v>
      </c>
      <c r="H13" s="1" t="str">
        <f>'N TRIBUTARIO'!H257</f>
        <v>1412</v>
      </c>
      <c r="I13" s="1">
        <f>'N TRIBUTARIO'!I257</f>
        <v>0</v>
      </c>
      <c r="J13" s="1" t="s">
        <v>725</v>
      </c>
      <c r="K13" s="1" t="str">
        <f>'N TRIBUTARIO'!J257</f>
        <v>PASAQUINA</v>
      </c>
      <c r="L13" s="1" t="str">
        <f>'N TRIBUTARIO'!K257</f>
        <v>NORTE</v>
      </c>
      <c r="M13" s="1" t="str">
        <f>'N TRIBUTARIO'!L257</f>
        <v>LA UNION</v>
      </c>
      <c r="N13" s="1">
        <f>'N TRIBUTARIO'!M257</f>
        <v>0</v>
      </c>
      <c r="O13" s="1">
        <f>'N TRIBUTARIO'!N257</f>
        <v>0</v>
      </c>
      <c r="P13" s="1">
        <f>'N TRIBUTARIO'!O257</f>
        <v>0</v>
      </c>
      <c r="Q13" s="1">
        <f>'N TRIBUTARIO'!P257</f>
        <v>1</v>
      </c>
      <c r="R13" s="1">
        <f>'N TRIBUTARIO'!Q257</f>
        <v>0</v>
      </c>
      <c r="S13" s="1">
        <f>'N TRIBUTARIO'!R257</f>
        <v>0</v>
      </c>
      <c r="T13" s="1">
        <f>'N TRIBUTARIO'!S257</f>
        <v>0</v>
      </c>
      <c r="U13" s="1" t="str">
        <f>'N TRIBUTARIO'!T257</f>
        <v>-</v>
      </c>
      <c r="V13" s="1" t="str">
        <f>'N TRIBUTARIO'!U257</f>
        <v xml:space="preserve"> </v>
      </c>
      <c r="W13" s="1" t="str">
        <f>'N TRIBUTARIO'!V257</f>
        <v>PASAQUINA-1412-NORTE</v>
      </c>
      <c r="X13" s="1" t="str">
        <f>'N TRIBUTARIO'!W257</f>
        <v>1412-141079-001-1</v>
      </c>
      <c r="Y13" s="1" t="str">
        <f>'N TRIBUTARIO'!X257</f>
        <v>PASAQUINA NORTE</v>
      </c>
      <c r="Z13" s="1" t="str">
        <f>'N TRIBUTARIO'!Y257</f>
        <v>1412-141079-001-1 PASAQUINA NORTE</v>
      </c>
      <c r="AA13" s="1" t="str">
        <f>'N TRIBUTARIO'!Z257</f>
        <v>1412 PASAQUINA-NORTE</v>
      </c>
      <c r="AB13" s="1">
        <f>'N TRIBUTARIO'!AA257</f>
        <v>0</v>
      </c>
      <c r="AC13" s="1">
        <f>'N TRIBUTARIO'!AB257</f>
        <v>0</v>
      </c>
      <c r="AD13" s="1">
        <f>'N TRIBUTARIO'!AC257</f>
        <v>0</v>
      </c>
    </row>
    <row r="14" spans="1:30" ht="19" customHeight="1" x14ac:dyDescent="0.4">
      <c r="A14" s="1">
        <f>'N TRIBUTARIO'!A258</f>
        <v>0</v>
      </c>
      <c r="B14" s="1" t="str">
        <f>'N TRIBUTARIO'!B258</f>
        <v>14</v>
      </c>
      <c r="C14" s="1" t="str">
        <f>'N TRIBUTARIO'!C258</f>
        <v>10</v>
      </c>
      <c r="D14" s="1" t="str">
        <f>'N TRIBUTARIO'!D258</f>
        <v>79</v>
      </c>
      <c r="E14" s="1" t="str">
        <f>'N TRIBUTARIO'!E258</f>
        <v>001</v>
      </c>
      <c r="F14" s="1">
        <f>'N TRIBUTARIO'!F258</f>
        <v>1</v>
      </c>
      <c r="G14" s="1">
        <f>'N TRIBUTARIO'!G258</f>
        <v>257</v>
      </c>
      <c r="H14" s="1" t="str">
        <f>'N TRIBUTARIO'!H258</f>
        <v>1413</v>
      </c>
      <c r="I14" s="1">
        <f>'N TRIBUTARIO'!I258</f>
        <v>0</v>
      </c>
      <c r="J14" s="1" t="s">
        <v>725</v>
      </c>
      <c r="K14" s="1" t="str">
        <f>'N TRIBUTARIO'!J258</f>
        <v>POLOROS</v>
      </c>
      <c r="L14" s="1" t="str">
        <f>'N TRIBUTARIO'!K258</f>
        <v>NORTE</v>
      </c>
      <c r="M14" s="1" t="str">
        <f>'N TRIBUTARIO'!L258</f>
        <v>LA UNION</v>
      </c>
      <c r="N14" s="1">
        <f>'N TRIBUTARIO'!M258</f>
        <v>0</v>
      </c>
      <c r="O14" s="1">
        <f>'N TRIBUTARIO'!N258</f>
        <v>0</v>
      </c>
      <c r="P14" s="1">
        <f>'N TRIBUTARIO'!O258</f>
        <v>0</v>
      </c>
      <c r="Q14" s="1">
        <f>'N TRIBUTARIO'!P258</f>
        <v>1</v>
      </c>
      <c r="R14" s="1">
        <f>'N TRIBUTARIO'!Q258</f>
        <v>0</v>
      </c>
      <c r="S14" s="1">
        <f>'N TRIBUTARIO'!R258</f>
        <v>0</v>
      </c>
      <c r="T14" s="1">
        <f>'N TRIBUTARIO'!S258</f>
        <v>0</v>
      </c>
      <c r="U14" s="1" t="str">
        <f>'N TRIBUTARIO'!T258</f>
        <v>-</v>
      </c>
      <c r="V14" s="1" t="str">
        <f>'N TRIBUTARIO'!U258</f>
        <v xml:space="preserve"> </v>
      </c>
      <c r="W14" s="1" t="str">
        <f>'N TRIBUTARIO'!V258</f>
        <v>POLOROS-1413-NORTE</v>
      </c>
      <c r="X14" s="1" t="str">
        <f>'N TRIBUTARIO'!W258</f>
        <v>1413-141079-001-1</v>
      </c>
      <c r="Y14" s="1" t="str">
        <f>'N TRIBUTARIO'!X258</f>
        <v>POLOROS NORTE</v>
      </c>
      <c r="Z14" s="1" t="str">
        <f>'N TRIBUTARIO'!Y258</f>
        <v>1413-141079-001-1 POLOROS NORTE</v>
      </c>
      <c r="AA14" s="1" t="str">
        <f>'N TRIBUTARIO'!Z258</f>
        <v>1413 POLOROS-NORTE</v>
      </c>
      <c r="AB14" s="1">
        <f>'N TRIBUTARIO'!AA258</f>
        <v>0</v>
      </c>
      <c r="AC14" s="1">
        <f>'N TRIBUTARIO'!AB258</f>
        <v>0</v>
      </c>
      <c r="AD14" s="1">
        <f>'N TRIBUTARIO'!AC258</f>
        <v>0</v>
      </c>
    </row>
    <row r="15" spans="1:30" ht="19" customHeight="1" x14ac:dyDescent="0.4">
      <c r="A15" s="1">
        <f>'N TRIBUTARIO'!A259</f>
        <v>0</v>
      </c>
      <c r="B15" s="1" t="str">
        <f>'N TRIBUTARIO'!B259</f>
        <v>14</v>
      </c>
      <c r="C15" s="1" t="str">
        <f>'N TRIBUTARIO'!C259</f>
        <v>10</v>
      </c>
      <c r="D15" s="1" t="str">
        <f>'N TRIBUTARIO'!D259</f>
        <v>79</v>
      </c>
      <c r="E15" s="1" t="str">
        <f>'N TRIBUTARIO'!E259</f>
        <v>001</v>
      </c>
      <c r="F15" s="1">
        <f>'N TRIBUTARIO'!F259</f>
        <v>1</v>
      </c>
      <c r="G15" s="1">
        <f>'N TRIBUTARIO'!G259</f>
        <v>258</v>
      </c>
      <c r="H15" s="1" t="str">
        <f>'N TRIBUTARIO'!H259</f>
        <v>1414</v>
      </c>
      <c r="I15" s="1">
        <f>'N TRIBUTARIO'!I259</f>
        <v>0</v>
      </c>
      <c r="J15" s="1" t="s">
        <v>725</v>
      </c>
      <c r="K15" s="1" t="str">
        <f>'N TRIBUTARIO'!J259</f>
        <v>SAN ALEJO</v>
      </c>
      <c r="L15" s="1" t="str">
        <f>'N TRIBUTARIO'!K259</f>
        <v>SUR</v>
      </c>
      <c r="M15" s="1" t="str">
        <f>'N TRIBUTARIO'!L259</f>
        <v>LA UNION</v>
      </c>
      <c r="N15" s="1">
        <f>'N TRIBUTARIO'!M259</f>
        <v>0</v>
      </c>
      <c r="O15" s="1">
        <f>'N TRIBUTARIO'!N259</f>
        <v>0</v>
      </c>
      <c r="P15" s="1">
        <f>'N TRIBUTARIO'!O259</f>
        <v>0</v>
      </c>
      <c r="Q15" s="1">
        <f>'N TRIBUTARIO'!P259</f>
        <v>0</v>
      </c>
      <c r="R15" s="1">
        <f>'N TRIBUTARIO'!Q259</f>
        <v>0</v>
      </c>
      <c r="S15" s="1">
        <f>'N TRIBUTARIO'!R259</f>
        <v>1</v>
      </c>
      <c r="T15" s="1">
        <f>'N TRIBUTARIO'!S259</f>
        <v>0</v>
      </c>
      <c r="U15" s="1" t="str">
        <f>'N TRIBUTARIO'!T259</f>
        <v>-</v>
      </c>
      <c r="V15" s="1" t="str">
        <f>'N TRIBUTARIO'!U259</f>
        <v xml:space="preserve"> </v>
      </c>
      <c r="W15" s="1" t="str">
        <f>'N TRIBUTARIO'!V259</f>
        <v>SAN ALEJO-1414-SUR</v>
      </c>
      <c r="X15" s="1" t="str">
        <f>'N TRIBUTARIO'!W259</f>
        <v>1414-141079-001-1</v>
      </c>
      <c r="Y15" s="1" t="str">
        <f>'N TRIBUTARIO'!X259</f>
        <v>SAN ALEJO SUR</v>
      </c>
      <c r="Z15" s="1" t="str">
        <f>'N TRIBUTARIO'!Y259</f>
        <v>1414-141079-001-1 SAN ALEJO SUR</v>
      </c>
      <c r="AA15" s="1" t="str">
        <f>'N TRIBUTARIO'!Z259</f>
        <v>1414 SAN ALEJO-SUR</v>
      </c>
      <c r="AB15" s="1">
        <f>'N TRIBUTARIO'!AA259</f>
        <v>0</v>
      </c>
      <c r="AC15" s="1">
        <f>'N TRIBUTARIO'!AB259</f>
        <v>0</v>
      </c>
      <c r="AD15" s="1">
        <f>'N TRIBUTARIO'!AC259</f>
        <v>0</v>
      </c>
    </row>
    <row r="16" spans="1:30" ht="19" customHeight="1" x14ac:dyDescent="0.4">
      <c r="A16" s="1">
        <f>'N TRIBUTARIO'!A260</f>
        <v>0</v>
      </c>
      <c r="B16" s="1" t="str">
        <f>'N TRIBUTARIO'!B260</f>
        <v>14</v>
      </c>
      <c r="C16" s="1" t="str">
        <f>'N TRIBUTARIO'!C260</f>
        <v>10</v>
      </c>
      <c r="D16" s="1" t="str">
        <f>'N TRIBUTARIO'!D260</f>
        <v>79</v>
      </c>
      <c r="E16" s="1" t="str">
        <f>'N TRIBUTARIO'!E260</f>
        <v>001</v>
      </c>
      <c r="F16" s="1">
        <f>'N TRIBUTARIO'!F260</f>
        <v>1</v>
      </c>
      <c r="G16" s="1">
        <f>'N TRIBUTARIO'!G260</f>
        <v>259</v>
      </c>
      <c r="H16" s="1" t="str">
        <f>'N TRIBUTARIO'!H260</f>
        <v>1415</v>
      </c>
      <c r="I16" s="1">
        <f>'N TRIBUTARIO'!I260</f>
        <v>0</v>
      </c>
      <c r="J16" s="1" t="s">
        <v>725</v>
      </c>
      <c r="K16" s="1" t="str">
        <f>'N TRIBUTARIO'!J260</f>
        <v>SAN JOSE</v>
      </c>
      <c r="L16" s="1" t="str">
        <f>'N TRIBUTARIO'!K260</f>
        <v>NORTE</v>
      </c>
      <c r="M16" s="1" t="str">
        <f>'N TRIBUTARIO'!L260</f>
        <v>LA UNION</v>
      </c>
      <c r="N16" s="1">
        <f>'N TRIBUTARIO'!M260</f>
        <v>0</v>
      </c>
      <c r="O16" s="1">
        <f>'N TRIBUTARIO'!N260</f>
        <v>0</v>
      </c>
      <c r="P16" s="1">
        <f>'N TRIBUTARIO'!O260</f>
        <v>0</v>
      </c>
      <c r="Q16" s="1">
        <f>'N TRIBUTARIO'!P260</f>
        <v>1</v>
      </c>
      <c r="R16" s="1">
        <f>'N TRIBUTARIO'!Q260</f>
        <v>0</v>
      </c>
      <c r="S16" s="1">
        <f>'N TRIBUTARIO'!R260</f>
        <v>0</v>
      </c>
      <c r="T16" s="1">
        <f>'N TRIBUTARIO'!S260</f>
        <v>0</v>
      </c>
      <c r="U16" s="1" t="str">
        <f>'N TRIBUTARIO'!T260</f>
        <v>-</v>
      </c>
      <c r="V16" s="1" t="str">
        <f>'N TRIBUTARIO'!U260</f>
        <v xml:space="preserve"> </v>
      </c>
      <c r="W16" s="1" t="str">
        <f>'N TRIBUTARIO'!V260</f>
        <v>SAN JOSE-1415-NORTE</v>
      </c>
      <c r="X16" s="1" t="str">
        <f>'N TRIBUTARIO'!W260</f>
        <v>1415-141079-001-1</v>
      </c>
      <c r="Y16" s="1" t="str">
        <f>'N TRIBUTARIO'!X260</f>
        <v>SAN JOSE NORTE</v>
      </c>
      <c r="Z16" s="1" t="str">
        <f>'N TRIBUTARIO'!Y260</f>
        <v>1415-141079-001-1 SAN JOSE NORTE</v>
      </c>
      <c r="AA16" s="1" t="str">
        <f>'N TRIBUTARIO'!Z260</f>
        <v>1415 SAN JOSE-NORTE</v>
      </c>
      <c r="AB16" s="1">
        <f>'N TRIBUTARIO'!AA260</f>
        <v>0</v>
      </c>
      <c r="AC16" s="1">
        <f>'N TRIBUTARIO'!AB260</f>
        <v>0</v>
      </c>
      <c r="AD16" s="1">
        <f>'N TRIBUTARIO'!AC260</f>
        <v>0</v>
      </c>
    </row>
    <row r="17" spans="1:30" ht="19" customHeight="1" x14ac:dyDescent="0.4">
      <c r="A17" s="1">
        <f>'N TRIBUTARIO'!A261</f>
        <v>0</v>
      </c>
      <c r="B17" s="1" t="str">
        <f>'N TRIBUTARIO'!B261</f>
        <v>01</v>
      </c>
      <c r="C17" s="1" t="str">
        <f>'N TRIBUTARIO'!C261</f>
        <v>06</v>
      </c>
      <c r="D17" s="1" t="str">
        <f>'N TRIBUTARIO'!D261</f>
        <v>11</v>
      </c>
      <c r="E17" s="1" t="str">
        <f>'N TRIBUTARIO'!E261</f>
        <v>001</v>
      </c>
      <c r="F17" s="1">
        <f>'N TRIBUTARIO'!F261</f>
        <v>0</v>
      </c>
      <c r="G17" s="1">
        <f>'N TRIBUTARIO'!G261</f>
        <v>260</v>
      </c>
      <c r="H17" s="1" t="str">
        <f>'N TRIBUTARIO'!H261</f>
        <v>1416</v>
      </c>
      <c r="I17" s="1">
        <f>'N TRIBUTARIO'!I261</f>
        <v>0</v>
      </c>
      <c r="J17" s="1" t="s">
        <v>725</v>
      </c>
      <c r="K17" s="1" t="str">
        <f>'N TRIBUTARIO'!J261</f>
        <v>SANTA ROSA DE LIMA</v>
      </c>
      <c r="L17" s="1" t="str">
        <f>'N TRIBUTARIO'!K261</f>
        <v>NORTE</v>
      </c>
      <c r="M17" s="1" t="str">
        <f>'N TRIBUTARIO'!L261</f>
        <v>LA UNION</v>
      </c>
      <c r="N17" s="1">
        <f>'N TRIBUTARIO'!M261</f>
        <v>0</v>
      </c>
      <c r="O17" s="1">
        <f>'N TRIBUTARIO'!N261</f>
        <v>0</v>
      </c>
      <c r="P17" s="1">
        <f>'N TRIBUTARIO'!O261</f>
        <v>0</v>
      </c>
      <c r="Q17" s="1">
        <f>'N TRIBUTARIO'!P261</f>
        <v>1</v>
      </c>
      <c r="R17" s="1">
        <f>'N TRIBUTARIO'!Q261</f>
        <v>0</v>
      </c>
      <c r="S17" s="1">
        <f>'N TRIBUTARIO'!R261</f>
        <v>0</v>
      </c>
      <c r="T17" s="1">
        <f>'N TRIBUTARIO'!S261</f>
        <v>0</v>
      </c>
      <c r="U17" s="1" t="str">
        <f>'N TRIBUTARIO'!T261</f>
        <v>-</v>
      </c>
      <c r="V17" s="1" t="str">
        <f>'N TRIBUTARIO'!U261</f>
        <v xml:space="preserve"> </v>
      </c>
      <c r="W17" s="1" t="str">
        <f>'N TRIBUTARIO'!V261</f>
        <v>SANTA ROSA DE LIMA-1416-NORTE</v>
      </c>
      <c r="X17" s="1" t="str">
        <f>'N TRIBUTARIO'!W261</f>
        <v>1416-010611-001-0</v>
      </c>
      <c r="Y17" s="1" t="str">
        <f>'N TRIBUTARIO'!X261</f>
        <v>SANTA ROSA DE LIMA NORTE</v>
      </c>
      <c r="Z17" s="1" t="str">
        <f>'N TRIBUTARIO'!Y261</f>
        <v>1416-010611-001-0 SANTA ROSA DE LIMA NORTE</v>
      </c>
      <c r="AA17" s="1" t="str">
        <f>'N TRIBUTARIO'!Z261</f>
        <v>1416 SANTA ROSA DE LIMA-NORTE</v>
      </c>
      <c r="AB17" s="1">
        <f>'N TRIBUTARIO'!AA261</f>
        <v>0</v>
      </c>
      <c r="AC17" s="1">
        <f>'N TRIBUTARIO'!AB261</f>
        <v>0</v>
      </c>
      <c r="AD17" s="1">
        <f>'N TRIBUTARIO'!AC261</f>
        <v>0</v>
      </c>
    </row>
    <row r="18" spans="1:30" ht="19" customHeight="1" x14ac:dyDescent="0.4">
      <c r="A18" s="1">
        <f>'N TRIBUTARIO'!A262</f>
        <v>0</v>
      </c>
      <c r="B18" s="1" t="str">
        <f>'N TRIBUTARIO'!B262</f>
        <v>14</v>
      </c>
      <c r="C18" s="1" t="str">
        <f>'N TRIBUTARIO'!C262</f>
        <v>10</v>
      </c>
      <c r="D18" s="1" t="str">
        <f>'N TRIBUTARIO'!D262</f>
        <v>79</v>
      </c>
      <c r="E18" s="1" t="str">
        <f>'N TRIBUTARIO'!E262</f>
        <v>001</v>
      </c>
      <c r="F18" s="1">
        <f>'N TRIBUTARIO'!F262</f>
        <v>1</v>
      </c>
      <c r="G18" s="1">
        <f>'N TRIBUTARIO'!G262</f>
        <v>261</v>
      </c>
      <c r="H18" s="1" t="str">
        <f>'N TRIBUTARIO'!H262</f>
        <v>1417</v>
      </c>
      <c r="I18" s="1">
        <f>'N TRIBUTARIO'!I262</f>
        <v>0</v>
      </c>
      <c r="J18" s="1" t="s">
        <v>725</v>
      </c>
      <c r="K18" s="1" t="str">
        <f>'N TRIBUTARIO'!J262</f>
        <v>YAYANTIQUE</v>
      </c>
      <c r="L18" s="1" t="str">
        <f>'N TRIBUTARIO'!K262</f>
        <v>SUR</v>
      </c>
      <c r="M18" s="1" t="str">
        <f>'N TRIBUTARIO'!L262</f>
        <v>LA UNION</v>
      </c>
      <c r="N18" s="1">
        <f>'N TRIBUTARIO'!M262</f>
        <v>0</v>
      </c>
      <c r="O18" s="1">
        <f>'N TRIBUTARIO'!N262</f>
        <v>0</v>
      </c>
      <c r="P18" s="1">
        <f>'N TRIBUTARIO'!O262</f>
        <v>0</v>
      </c>
      <c r="Q18" s="1">
        <f>'N TRIBUTARIO'!P262</f>
        <v>0</v>
      </c>
      <c r="R18" s="1">
        <f>'N TRIBUTARIO'!Q262</f>
        <v>0</v>
      </c>
      <c r="S18" s="1">
        <f>'N TRIBUTARIO'!R262</f>
        <v>1</v>
      </c>
      <c r="T18" s="1">
        <f>'N TRIBUTARIO'!S262</f>
        <v>0</v>
      </c>
      <c r="U18" s="1" t="str">
        <f>'N TRIBUTARIO'!T262</f>
        <v>-</v>
      </c>
      <c r="V18" s="1" t="str">
        <f>'N TRIBUTARIO'!U262</f>
        <v xml:space="preserve"> </v>
      </c>
      <c r="W18" s="1" t="str">
        <f>'N TRIBUTARIO'!V262</f>
        <v>YAYANTIQUE-1417-SUR</v>
      </c>
      <c r="X18" s="1" t="str">
        <f>'N TRIBUTARIO'!W262</f>
        <v>1417-141079-001-1</v>
      </c>
      <c r="Y18" s="1" t="str">
        <f>'N TRIBUTARIO'!X262</f>
        <v>YAYANTIQUE SUR</v>
      </c>
      <c r="Z18" s="1" t="str">
        <f>'N TRIBUTARIO'!Y262</f>
        <v>1417-141079-001-1 YAYANTIQUE SUR</v>
      </c>
      <c r="AA18" s="1" t="str">
        <f>'N TRIBUTARIO'!Z262</f>
        <v>1417 YAYANTIQUE-SUR</v>
      </c>
      <c r="AB18" s="1">
        <f>'N TRIBUTARIO'!AA262</f>
        <v>0</v>
      </c>
      <c r="AC18" s="1">
        <f>'N TRIBUTARIO'!AB262</f>
        <v>0</v>
      </c>
      <c r="AD18" s="1">
        <f>'N TRIBUTARIO'!AC262</f>
        <v>0</v>
      </c>
    </row>
    <row r="19" spans="1:30" ht="19" customHeight="1" x14ac:dyDescent="0.4">
      <c r="A19" s="1">
        <f>'N TRIBUTARIO'!A263</f>
        <v>0</v>
      </c>
      <c r="B19" s="1" t="str">
        <f>'N TRIBUTARIO'!B263</f>
        <v>14</v>
      </c>
      <c r="C19" s="1" t="str">
        <f>'N TRIBUTARIO'!C263</f>
        <v>10</v>
      </c>
      <c r="D19" s="1" t="str">
        <f>'N TRIBUTARIO'!D263</f>
        <v>79</v>
      </c>
      <c r="E19" s="1" t="str">
        <f>'N TRIBUTARIO'!E263</f>
        <v>001</v>
      </c>
      <c r="F19" s="1">
        <f>'N TRIBUTARIO'!F263</f>
        <v>1</v>
      </c>
      <c r="G19" s="1">
        <f>'N TRIBUTARIO'!G263</f>
        <v>262</v>
      </c>
      <c r="H19" s="1" t="str">
        <f>'N TRIBUTARIO'!H263</f>
        <v>1418</v>
      </c>
      <c r="I19" s="1">
        <f>'N TRIBUTARIO'!I263</f>
        <v>0</v>
      </c>
      <c r="J19" s="1" t="s">
        <v>725</v>
      </c>
      <c r="K19" s="1" t="str">
        <f>'N TRIBUTARIO'!J263</f>
        <v>YUCUAIQUIN</v>
      </c>
      <c r="L19" s="1" t="str">
        <f>'N TRIBUTARIO'!K263</f>
        <v>SUR</v>
      </c>
      <c r="M19" s="1" t="str">
        <f>'N TRIBUTARIO'!L263</f>
        <v>LA UNION</v>
      </c>
      <c r="N19" s="1">
        <f>'N TRIBUTARIO'!M263</f>
        <v>0</v>
      </c>
      <c r="O19" s="1">
        <f>'N TRIBUTARIO'!N263</f>
        <v>0</v>
      </c>
      <c r="P19" s="1">
        <f>'N TRIBUTARIO'!O263</f>
        <v>0</v>
      </c>
      <c r="Q19" s="1">
        <f>'N TRIBUTARIO'!P263</f>
        <v>0</v>
      </c>
      <c r="R19" s="1">
        <f>'N TRIBUTARIO'!Q263</f>
        <v>0</v>
      </c>
      <c r="S19" s="1">
        <f>'N TRIBUTARIO'!R263</f>
        <v>1</v>
      </c>
      <c r="T19" s="1">
        <f>'N TRIBUTARIO'!S263</f>
        <v>0</v>
      </c>
      <c r="U19" s="1" t="str">
        <f>'N TRIBUTARIO'!T263</f>
        <v>-</v>
      </c>
      <c r="V19" s="1" t="str">
        <f>'N TRIBUTARIO'!U263</f>
        <v xml:space="preserve"> </v>
      </c>
      <c r="W19" s="1" t="str">
        <f>'N TRIBUTARIO'!V263</f>
        <v>YUCUAIQUIN-1418-SUR</v>
      </c>
      <c r="X19" s="1" t="str">
        <f>'N TRIBUTARIO'!W263</f>
        <v>1418-141079-001-1</v>
      </c>
      <c r="Y19" s="1" t="str">
        <f>'N TRIBUTARIO'!X263</f>
        <v>YUCUAIQUIN SUR</v>
      </c>
      <c r="Z19" s="1" t="str">
        <f>'N TRIBUTARIO'!Y263</f>
        <v>1418-141079-001-1 YUCUAIQUIN SUR</v>
      </c>
      <c r="AA19" s="1" t="str">
        <f>'N TRIBUTARIO'!Z263</f>
        <v>1418 YUCUAIQUIN-SUR</v>
      </c>
      <c r="AB19" s="1">
        <f>'N TRIBUTARIO'!AA263</f>
        <v>0</v>
      </c>
      <c r="AC19" s="1">
        <f>'N TRIBUTARIO'!AB263</f>
        <v>0</v>
      </c>
      <c r="AD19" s="1">
        <f>'N TRIBUTARIO'!AC263</f>
        <v>0</v>
      </c>
    </row>
    <row r="20" spans="1:30" ht="19" customHeight="1" x14ac:dyDescent="0.4">
      <c r="N20" s="1">
        <f>SUM(N2:N19)</f>
        <v>0</v>
      </c>
      <c r="O20" s="1">
        <f t="shared" ref="O20:T20" si="0">SUM(O2:O19)</f>
        <v>0</v>
      </c>
      <c r="P20" s="1">
        <f t="shared" si="0"/>
        <v>0</v>
      </c>
      <c r="Q20" s="1">
        <f t="shared" si="0"/>
        <v>10</v>
      </c>
      <c r="R20" s="1">
        <f t="shared" si="0"/>
        <v>0</v>
      </c>
      <c r="S20" s="1">
        <f t="shared" si="0"/>
        <v>8</v>
      </c>
      <c r="T20" s="1">
        <f t="shared" si="0"/>
        <v>0</v>
      </c>
    </row>
    <row r="21" spans="1:30" ht="19" customHeight="1" x14ac:dyDescent="0.4">
      <c r="J21" s="1" t="str">
        <f>Q1</f>
        <v>NORTE</v>
      </c>
      <c r="K21" s="1" t="str">
        <f>CONCATENATE(K2,J2,K3,J3,K4,J4,K7,J7,K10,J10,K12,J12,K13,J13,K14,J14,K16,J16,K17)</f>
        <v>ANAMOROS, BOLIVAR, CONCEPCION DE ORIENTE, EL SAUCE, LISLIQUE, NUEVA ESPARTA, PASAQUINA, POLOROS, SAN JOSE, SANTA ROSA DE LIMA</v>
      </c>
    </row>
    <row r="22" spans="1:30" ht="19" customHeight="1" x14ac:dyDescent="0.4">
      <c r="J22" s="1" t="str">
        <f>S1</f>
        <v>SUR</v>
      </c>
      <c r="K22" s="1" t="str">
        <f>CONCATENATE(K5,J5,K6,J6,K8,J8,K9,J9,K11,J11,K15,J15,K18,J18,K19)</f>
        <v>CONCHAGUA, EL CARMEN, INTIPUCA, LA UNION, MEANGUERA DEL GOLFO, SAN ALEJO, YAYANTIQUE, YUCUAIQUIN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74FA4-E2AE-4380-BA38-4B41EC57D2B7}">
  <sheetPr codeName="Hoja7"/>
  <dimension ref="B1:N18"/>
  <sheetViews>
    <sheetView showZeros="0" topLeftCell="A2" workbookViewId="0">
      <selection sqref="A1:XFD1048576"/>
    </sheetView>
  </sheetViews>
  <sheetFormatPr baseColWidth="10" defaultRowHeight="18.5" x14ac:dyDescent="0.45"/>
  <cols>
    <col min="1" max="1" width="6.33203125" style="1" bestFit="1" customWidth="1"/>
    <col min="2" max="2" width="3.265625" style="21" bestFit="1" customWidth="1"/>
    <col min="3" max="3" width="8.53125" style="21" customWidth="1"/>
    <col min="4" max="9" width="7.265625" style="21" customWidth="1"/>
    <col min="10" max="10" width="15.796875" style="1" customWidth="1"/>
    <col min="11" max="15" width="7.265625" style="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10.6640625" style="1"/>
    <col min="23" max="23" width="9.53125" style="1" bestFit="1" customWidth="1"/>
    <col min="24" max="24" width="4.9296875" style="1" bestFit="1" customWidth="1"/>
    <col min="25" max="25" width="13.33203125" style="1" bestFit="1" customWidth="1"/>
    <col min="26" max="26" width="15.73046875" style="1" bestFit="1" customWidth="1"/>
    <col min="27" max="27" width="12.199218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2:14" ht="19" thickBot="1" x14ac:dyDescent="0.5"/>
    <row r="2" spans="2:14" ht="67" customHeight="1" x14ac:dyDescent="0.4">
      <c r="B2" s="22" t="s">
        <v>312</v>
      </c>
      <c r="C2" s="22" t="str">
        <f>'N TRIBUTARIO'!M1</f>
        <v>CENTRO</v>
      </c>
      <c r="D2" s="22" t="str">
        <f>'N TRIBUTARIO'!N1</f>
        <v>COSTA</v>
      </c>
      <c r="E2" s="22" t="str">
        <f>'N TRIBUTARIO'!O1</f>
        <v>ESTE</v>
      </c>
      <c r="F2" s="22" t="str">
        <f>'N TRIBUTARIO'!P1</f>
        <v>NORTE</v>
      </c>
      <c r="G2" s="22" t="str">
        <f>'N TRIBUTARIO'!Q1</f>
        <v>OESTE</v>
      </c>
      <c r="H2" s="22" t="str">
        <f>'N TRIBUTARIO'!R1</f>
        <v>SUR</v>
      </c>
      <c r="I2" s="22" t="s">
        <v>726</v>
      </c>
      <c r="J2" s="23"/>
      <c r="K2" s="23" t="s">
        <v>727</v>
      </c>
      <c r="L2" s="23" t="s">
        <v>315</v>
      </c>
      <c r="M2" s="23" t="s">
        <v>728</v>
      </c>
      <c r="N2" s="23" t="s">
        <v>313</v>
      </c>
    </row>
    <row r="3" spans="2:14" x14ac:dyDescent="0.4">
      <c r="B3" s="24">
        <v>1</v>
      </c>
      <c r="C3" s="24">
        <f>'1 ahu'!N14</f>
        <v>4</v>
      </c>
      <c r="D3" s="24">
        <f>'1 ahu'!O14</f>
        <v>0</v>
      </c>
      <c r="E3" s="24">
        <f>'1 ahu'!P14</f>
        <v>0</v>
      </c>
      <c r="F3" s="24">
        <f>'1 ahu'!Q14</f>
        <v>4</v>
      </c>
      <c r="G3" s="24">
        <f>'1 ahu'!R14</f>
        <v>0</v>
      </c>
      <c r="H3" s="24">
        <f>'1 ahu'!S14</f>
        <v>4</v>
      </c>
      <c r="I3" s="24">
        <f>SUM(C3:H3)</f>
        <v>12</v>
      </c>
      <c r="J3" s="25" t="s">
        <v>2</v>
      </c>
      <c r="K3" s="26"/>
      <c r="L3" s="26"/>
      <c r="M3" s="26"/>
      <c r="N3" s="26"/>
    </row>
    <row r="4" spans="2:14" x14ac:dyDescent="0.45">
      <c r="B4" s="27">
        <v>2</v>
      </c>
      <c r="C4" s="27">
        <f>'2 sa'!N15</f>
        <v>1</v>
      </c>
      <c r="D4" s="27">
        <f>'2 sa'!O15</f>
        <v>0</v>
      </c>
      <c r="E4" s="27">
        <f>'2 sa'!P15</f>
        <v>2</v>
      </c>
      <c r="F4" s="27">
        <f>'2 sa'!Q15</f>
        <v>4</v>
      </c>
      <c r="G4" s="27">
        <f>'2 sa'!R15</f>
        <v>6</v>
      </c>
      <c r="H4" s="27">
        <f>'2 sa'!S15</f>
        <v>0</v>
      </c>
      <c r="I4" s="27">
        <f t="shared" ref="I4:I16" si="0">SUM(C4:H4)</f>
        <v>13</v>
      </c>
      <c r="J4" s="28" t="s">
        <v>3</v>
      </c>
      <c r="K4" s="29"/>
      <c r="L4" s="29"/>
      <c r="M4" s="29"/>
      <c r="N4" s="29"/>
    </row>
    <row r="5" spans="2:14" x14ac:dyDescent="0.4">
      <c r="B5" s="30">
        <v>3</v>
      </c>
      <c r="C5" s="30">
        <f>'3 son '!N18</f>
        <v>5</v>
      </c>
      <c r="D5" s="30">
        <f>'3 son '!O18</f>
        <v>0</v>
      </c>
      <c r="E5" s="30">
        <f>'3 son '!P18</f>
        <v>6</v>
      </c>
      <c r="F5" s="30">
        <f>'3 son '!Q18</f>
        <v>4</v>
      </c>
      <c r="G5" s="30">
        <f>'3 son '!R18</f>
        <v>1</v>
      </c>
      <c r="H5" s="30">
        <f>'3 son '!S18</f>
        <v>0</v>
      </c>
      <c r="I5" s="30">
        <f t="shared" si="0"/>
        <v>16</v>
      </c>
      <c r="J5" s="31" t="s">
        <v>4</v>
      </c>
      <c r="K5" s="32"/>
      <c r="L5" s="32"/>
      <c r="M5" s="32"/>
      <c r="N5" s="32"/>
    </row>
    <row r="6" spans="2:14" x14ac:dyDescent="0.4">
      <c r="B6" s="33">
        <v>4</v>
      </c>
      <c r="C6" s="33">
        <f>'4 cha'!N35</f>
        <v>10</v>
      </c>
      <c r="D6" s="33">
        <f>'4 cha'!O35</f>
        <v>0</v>
      </c>
      <c r="E6" s="33">
        <f>'4 cha'!P35</f>
        <v>0</v>
      </c>
      <c r="F6" s="33">
        <f>'4 cha'!Q35</f>
        <v>3</v>
      </c>
      <c r="G6" s="33">
        <f>'4 cha'!R35</f>
        <v>0</v>
      </c>
      <c r="H6" s="33">
        <f>'4 cha'!S35</f>
        <v>20</v>
      </c>
      <c r="I6" s="33">
        <f t="shared" si="0"/>
        <v>33</v>
      </c>
      <c r="J6" s="34" t="s">
        <v>5</v>
      </c>
      <c r="K6" s="35"/>
      <c r="L6" s="35"/>
      <c r="M6" s="35"/>
      <c r="N6" s="35"/>
    </row>
    <row r="7" spans="2:14" x14ac:dyDescent="0.4">
      <c r="B7" s="36">
        <v>5</v>
      </c>
      <c r="C7" s="36">
        <f>'5 LL'!N24</f>
        <v>2</v>
      </c>
      <c r="D7" s="36">
        <f>'5 LL'!O24</f>
        <v>4</v>
      </c>
      <c r="E7" s="36">
        <f>'5 LL'!P24</f>
        <v>5</v>
      </c>
      <c r="F7" s="36">
        <f>'5 LL'!Q24</f>
        <v>4</v>
      </c>
      <c r="G7" s="36">
        <f>'5 LL'!R24</f>
        <v>5</v>
      </c>
      <c r="H7" s="36">
        <f>'5 LL'!S24</f>
        <v>2</v>
      </c>
      <c r="I7" s="36">
        <f t="shared" si="0"/>
        <v>22</v>
      </c>
      <c r="J7" s="37" t="s">
        <v>6</v>
      </c>
      <c r="K7" s="38"/>
      <c r="L7" s="38"/>
      <c r="M7" s="38"/>
      <c r="N7" s="38"/>
    </row>
    <row r="8" spans="2:14" x14ac:dyDescent="0.4">
      <c r="B8" s="39">
        <v>6</v>
      </c>
      <c r="C8" s="39">
        <f>'6 ss'!N21</f>
        <v>5</v>
      </c>
      <c r="D8" s="39">
        <f>'6 ss'!O21</f>
        <v>0</v>
      </c>
      <c r="E8" s="39">
        <f>'6 ss'!P21</f>
        <v>4</v>
      </c>
      <c r="F8" s="39">
        <f>'6 ss'!Q21</f>
        <v>3</v>
      </c>
      <c r="G8" s="39">
        <f>'6 ss'!R21</f>
        <v>2</v>
      </c>
      <c r="H8" s="39">
        <f>'6 ss'!S21</f>
        <v>5</v>
      </c>
      <c r="I8" s="39">
        <f t="shared" si="0"/>
        <v>19</v>
      </c>
      <c r="J8" s="40" t="s">
        <v>7</v>
      </c>
      <c r="K8" s="41"/>
      <c r="L8" s="41"/>
      <c r="M8" s="41"/>
      <c r="N8" s="41"/>
    </row>
    <row r="9" spans="2:14" x14ac:dyDescent="0.45">
      <c r="B9" s="42">
        <v>7</v>
      </c>
      <c r="C9" s="42">
        <f>'7 cus'!N18</f>
        <v>0</v>
      </c>
      <c r="D9" s="42">
        <f>'7 cus'!O18</f>
        <v>0</v>
      </c>
      <c r="E9" s="42">
        <f>'7 cus'!P18</f>
        <v>0</v>
      </c>
      <c r="F9" s="42">
        <f>'7 cus'!Q18</f>
        <v>6</v>
      </c>
      <c r="G9" s="42">
        <f>'7 cus'!R18</f>
        <v>0</v>
      </c>
      <c r="H9" s="42">
        <f>'7 cus'!S18</f>
        <v>10</v>
      </c>
      <c r="I9" s="42">
        <f t="shared" si="0"/>
        <v>16</v>
      </c>
      <c r="J9" s="43" t="s">
        <v>8</v>
      </c>
      <c r="K9" s="43"/>
      <c r="L9" s="43"/>
      <c r="M9" s="43"/>
      <c r="N9" s="43"/>
    </row>
    <row r="10" spans="2:14" x14ac:dyDescent="0.45">
      <c r="B10" s="44">
        <v>8</v>
      </c>
      <c r="C10" s="44">
        <f>'8 lp'!N24</f>
        <v>12</v>
      </c>
      <c r="D10" s="44">
        <f>'8 lp'!O24</f>
        <v>0</v>
      </c>
      <c r="E10" s="44">
        <f>'8 lp'!P24</f>
        <v>3</v>
      </c>
      <c r="F10" s="44">
        <f>'8 lp'!Q24</f>
        <v>0</v>
      </c>
      <c r="G10" s="44">
        <f>'8 lp'!R24</f>
        <v>7</v>
      </c>
      <c r="H10" s="44">
        <f>'8 lp'!S24</f>
        <v>0</v>
      </c>
      <c r="I10" s="44">
        <f t="shared" si="0"/>
        <v>22</v>
      </c>
      <c r="J10" s="45" t="s">
        <v>9</v>
      </c>
      <c r="K10" s="45"/>
      <c r="L10" s="45"/>
      <c r="M10" s="45"/>
      <c r="N10" s="45"/>
    </row>
    <row r="11" spans="2:14" x14ac:dyDescent="0.45">
      <c r="B11" s="46">
        <v>9</v>
      </c>
      <c r="C11" s="46">
        <f>'9 cab'!N11</f>
        <v>0</v>
      </c>
      <c r="D11" s="46">
        <f>'9 cab'!O11</f>
        <v>0</v>
      </c>
      <c r="E11" s="46">
        <f>'9 cab'!P11</f>
        <v>5</v>
      </c>
      <c r="F11" s="46">
        <f>'9 cab'!Q11</f>
        <v>0</v>
      </c>
      <c r="G11" s="46">
        <f>'9 cab'!R11</f>
        <v>4</v>
      </c>
      <c r="H11" s="46">
        <f>'9 cab'!S11</f>
        <v>0</v>
      </c>
      <c r="I11" s="46">
        <f t="shared" si="0"/>
        <v>9</v>
      </c>
      <c r="J11" s="47" t="s">
        <v>10</v>
      </c>
      <c r="K11" s="47"/>
      <c r="L11" s="47"/>
      <c r="M11" s="47"/>
      <c r="N11" s="47"/>
    </row>
    <row r="12" spans="2:14" x14ac:dyDescent="0.45">
      <c r="B12" s="48">
        <v>10</v>
      </c>
      <c r="C12" s="48">
        <f>'10 sv'!N15</f>
        <v>0</v>
      </c>
      <c r="D12" s="48">
        <f>'10 sv'!O15</f>
        <v>0</v>
      </c>
      <c r="E12" s="48">
        <f>'10 sv'!P15</f>
        <v>0</v>
      </c>
      <c r="F12" s="48">
        <f>'10 sv'!Q15</f>
        <v>7</v>
      </c>
      <c r="G12" s="48">
        <f>'10 sv'!R15</f>
        <v>0</v>
      </c>
      <c r="H12" s="48">
        <f>'10 sv'!S15</f>
        <v>6</v>
      </c>
      <c r="I12" s="48">
        <f t="shared" si="0"/>
        <v>13</v>
      </c>
      <c r="J12" s="49" t="s">
        <v>11</v>
      </c>
      <c r="K12" s="49"/>
      <c r="L12" s="49"/>
      <c r="M12" s="49"/>
      <c r="N12" s="49"/>
    </row>
    <row r="13" spans="2:14" x14ac:dyDescent="0.45">
      <c r="B13" s="50">
        <v>11</v>
      </c>
      <c r="C13" s="50">
        <f>'11 usu'!N25</f>
        <v>0</v>
      </c>
      <c r="D13" s="50">
        <f>'11 usu'!O25</f>
        <v>0</v>
      </c>
      <c r="E13" s="50">
        <f>'11 usu'!P25</f>
        <v>10</v>
      </c>
      <c r="F13" s="50">
        <f>'11 usu'!Q25</f>
        <v>9</v>
      </c>
      <c r="G13" s="50">
        <f>'11 usu'!R25</f>
        <v>4</v>
      </c>
      <c r="H13" s="50">
        <f>'11 usu'!S25</f>
        <v>0</v>
      </c>
      <c r="I13" s="50">
        <f t="shared" si="0"/>
        <v>23</v>
      </c>
      <c r="J13" s="51" t="s">
        <v>12</v>
      </c>
      <c r="K13" s="51"/>
      <c r="L13" s="51"/>
      <c r="M13" s="51"/>
      <c r="N13" s="51"/>
    </row>
    <row r="14" spans="2:14" x14ac:dyDescent="0.45">
      <c r="B14" s="52">
        <v>12</v>
      </c>
      <c r="C14" s="52">
        <f>'12 sm'!N22</f>
        <v>6</v>
      </c>
      <c r="D14" s="52">
        <f>'12 sm'!O22</f>
        <v>0</v>
      </c>
      <c r="E14" s="52">
        <f>'12 sm'!P22</f>
        <v>0</v>
      </c>
      <c r="F14" s="52">
        <f>'12 sm'!Q22</f>
        <v>8</v>
      </c>
      <c r="G14" s="52">
        <f>'12 sm'!R22</f>
        <v>6</v>
      </c>
      <c r="H14" s="52">
        <f>'12 sm'!S22</f>
        <v>0</v>
      </c>
      <c r="I14" s="52">
        <f t="shared" si="0"/>
        <v>20</v>
      </c>
      <c r="J14" s="53" t="s">
        <v>13</v>
      </c>
      <c r="K14" s="53"/>
      <c r="L14" s="53"/>
      <c r="M14" s="53"/>
      <c r="N14" s="53"/>
    </row>
    <row r="15" spans="2:14" x14ac:dyDescent="0.45">
      <c r="B15" s="54">
        <v>13</v>
      </c>
      <c r="C15" s="54">
        <f>'13 mor'!N28</f>
        <v>0</v>
      </c>
      <c r="D15" s="54">
        <f>'13 mor'!O28</f>
        <v>0</v>
      </c>
      <c r="E15" s="54">
        <f>'13 mor'!P28</f>
        <v>0</v>
      </c>
      <c r="F15" s="54">
        <f>'13 mor'!Q28</f>
        <v>11</v>
      </c>
      <c r="G15" s="54">
        <f>'13 mor'!R28</f>
        <v>0</v>
      </c>
      <c r="H15" s="54">
        <f>'13 mor'!S28</f>
        <v>15</v>
      </c>
      <c r="I15" s="54">
        <f t="shared" si="0"/>
        <v>26</v>
      </c>
      <c r="J15" s="55" t="s">
        <v>14</v>
      </c>
      <c r="K15" s="55"/>
      <c r="L15" s="55"/>
      <c r="M15" s="55"/>
      <c r="N15" s="55"/>
    </row>
    <row r="16" spans="2:14" x14ac:dyDescent="0.45">
      <c r="B16" s="56">
        <v>14</v>
      </c>
      <c r="C16" s="56">
        <f>'14 LU'!N20</f>
        <v>0</v>
      </c>
      <c r="D16" s="56">
        <f>'14 LU'!O20</f>
        <v>0</v>
      </c>
      <c r="E16" s="56">
        <f>'14 LU'!P20</f>
        <v>0</v>
      </c>
      <c r="F16" s="56">
        <f>'14 LU'!Q20</f>
        <v>10</v>
      </c>
      <c r="G16" s="56">
        <f>'14 LU'!R20</f>
        <v>0</v>
      </c>
      <c r="H16" s="56">
        <f>'14 LU'!S20</f>
        <v>8</v>
      </c>
      <c r="I16" s="56">
        <f t="shared" si="0"/>
        <v>18</v>
      </c>
      <c r="J16" s="57" t="s">
        <v>15</v>
      </c>
      <c r="K16" s="57"/>
      <c r="L16" s="57"/>
      <c r="M16" s="57"/>
      <c r="N16" s="57"/>
    </row>
    <row r="17" spans="3:10" x14ac:dyDescent="0.45">
      <c r="C17" s="21">
        <f>SUM(C3:C16)</f>
        <v>45</v>
      </c>
      <c r="D17" s="21">
        <f t="shared" ref="D17:H17" si="1">SUM(D3:D16)</f>
        <v>4</v>
      </c>
      <c r="E17" s="21">
        <f t="shared" si="1"/>
        <v>35</v>
      </c>
      <c r="F17" s="21">
        <f t="shared" si="1"/>
        <v>73</v>
      </c>
      <c r="G17" s="21">
        <f t="shared" si="1"/>
        <v>35</v>
      </c>
      <c r="H17" s="21">
        <f t="shared" si="1"/>
        <v>70</v>
      </c>
      <c r="I17" s="21">
        <f>SUM(I3:I16)</f>
        <v>262</v>
      </c>
    </row>
    <row r="18" spans="3:10" x14ac:dyDescent="0.45">
      <c r="C18" s="161">
        <f>SUM(C17:H17)</f>
        <v>262</v>
      </c>
      <c r="D18" s="161"/>
      <c r="E18" s="161"/>
      <c r="F18" s="161"/>
      <c r="G18" s="161"/>
      <c r="H18" s="161"/>
      <c r="J18" s="58"/>
    </row>
  </sheetData>
  <mergeCells count="1">
    <mergeCell ref="C18:H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92C0-A939-4E9D-93C8-8F403002123B}">
  <sheetPr codeName="Hoja8"/>
  <dimension ref="A1:AD18"/>
  <sheetViews>
    <sheetView showZeros="0"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1.19921875" style="1" bestFit="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20" t="str">
        <f>'N TRIBUTARIO'!A2</f>
        <v>1C</v>
      </c>
      <c r="B2" s="20" t="str">
        <f>'N TRIBUTARIO'!B2</f>
        <v>01</v>
      </c>
      <c r="C2" s="20" t="str">
        <f>'N TRIBUTARIO'!C2</f>
        <v>06</v>
      </c>
      <c r="D2" s="20" t="str">
        <f>'N TRIBUTARIO'!D2</f>
        <v>11</v>
      </c>
      <c r="E2" s="20" t="str">
        <f>'N TRIBUTARIO'!E2</f>
        <v>001</v>
      </c>
      <c r="F2" s="20">
        <f>'N TRIBUTARIO'!F2</f>
        <v>0</v>
      </c>
      <c r="G2" s="20">
        <f>'N TRIBUTARIO'!G2</f>
        <v>1</v>
      </c>
      <c r="H2" s="20" t="str">
        <f>'N TRIBUTARIO'!H2</f>
        <v>0101</v>
      </c>
      <c r="I2" s="20">
        <f>'N TRIBUTARIO'!I2</f>
        <v>1</v>
      </c>
      <c r="J2" s="20" t="s">
        <v>725</v>
      </c>
      <c r="K2" s="20" t="str">
        <f>'N TRIBUTARIO'!J2</f>
        <v>AHUACHAPAN</v>
      </c>
      <c r="L2" s="20" t="str">
        <f>'N TRIBUTARIO'!K2</f>
        <v>CENTRO</v>
      </c>
      <c r="M2" s="20" t="str">
        <f>'N TRIBUTARIO'!L2</f>
        <v>AHUACHAPAN</v>
      </c>
      <c r="N2" s="20">
        <f>'N TRIBUTARIO'!M2</f>
        <v>1</v>
      </c>
      <c r="O2" s="20">
        <f>'N TRIBUTARIO'!N2</f>
        <v>0</v>
      </c>
      <c r="P2" s="20">
        <f>'N TRIBUTARIO'!O2</f>
        <v>0</v>
      </c>
      <c r="Q2" s="20">
        <f>'N TRIBUTARIO'!P2</f>
        <v>0</v>
      </c>
      <c r="R2" s="20">
        <f>'N TRIBUTARIO'!Q2</f>
        <v>0</v>
      </c>
      <c r="S2" s="20">
        <f>'N TRIBUTARIO'!R2</f>
        <v>0</v>
      </c>
      <c r="T2" s="20">
        <f>'N TRIBUTARIO'!S2</f>
        <v>0</v>
      </c>
      <c r="U2" s="20" t="str">
        <f>'N TRIBUTARIO'!T2</f>
        <v>-</v>
      </c>
      <c r="V2" s="20" t="str">
        <f>'N TRIBUTARIO'!U2</f>
        <v xml:space="preserve"> </v>
      </c>
      <c r="W2" s="20" t="str">
        <f>'N TRIBUTARIO'!V2</f>
        <v>AHUACHAPAN-0101-CENTRO</v>
      </c>
      <c r="X2" s="20" t="str">
        <f>'N TRIBUTARIO'!W2</f>
        <v>0101-010611-001-0</v>
      </c>
      <c r="Y2" s="20" t="str">
        <f>'N TRIBUTARIO'!X2</f>
        <v>AHUACHAPAN CENTRO</v>
      </c>
      <c r="Z2" s="20" t="str">
        <f>'N TRIBUTARIO'!Y2</f>
        <v>0101-010611-001-0 AHUACHAPAN CENTRO</v>
      </c>
      <c r="AA2" s="20" t="str">
        <f>'N TRIBUTARIO'!Z2</f>
        <v>0101 AHUACHAPAN-CENTRO</v>
      </c>
      <c r="AB2" s="20">
        <f>'N TRIBUTARIO'!AA2</f>
        <v>501.01</v>
      </c>
      <c r="AC2" s="20">
        <f>'N TRIBUTARIO'!AB2</f>
        <v>237889</v>
      </c>
      <c r="AD2" s="20">
        <f>'N TRIBUTARIO'!AC2</f>
        <v>474.82</v>
      </c>
    </row>
    <row r="3" spans="1:30" ht="19" customHeight="1" x14ac:dyDescent="0.4">
      <c r="A3" s="20">
        <f>'N TRIBUTARIO'!A3</f>
        <v>0</v>
      </c>
      <c r="B3" s="20" t="str">
        <f>'N TRIBUTARIO'!B3</f>
        <v>01</v>
      </c>
      <c r="C3" s="20" t="str">
        <f>'N TRIBUTARIO'!C3</f>
        <v>10</v>
      </c>
      <c r="D3" s="20" t="str">
        <f>'N TRIBUTARIO'!D3</f>
        <v>79</v>
      </c>
      <c r="E3" s="20" t="str">
        <f>'N TRIBUTARIO'!E3</f>
        <v>001</v>
      </c>
      <c r="F3" s="20">
        <f>'N TRIBUTARIO'!F3</f>
        <v>9</v>
      </c>
      <c r="G3" s="20">
        <f>'N TRIBUTARIO'!G3</f>
        <v>2</v>
      </c>
      <c r="H3" s="20" t="str">
        <f>'N TRIBUTARIO'!H3</f>
        <v>0102</v>
      </c>
      <c r="I3" s="20">
        <f>'N TRIBUTARIO'!I3</f>
        <v>0</v>
      </c>
      <c r="J3" s="20" t="s">
        <v>725</v>
      </c>
      <c r="K3" s="20" t="str">
        <f>'N TRIBUTARIO'!J3</f>
        <v>APANECA</v>
      </c>
      <c r="L3" s="20" t="str">
        <f>'N TRIBUTARIO'!K3</f>
        <v>CENTRO</v>
      </c>
      <c r="M3" s="20" t="str">
        <f>'N TRIBUTARIO'!L3</f>
        <v>AHUACHAPAN</v>
      </c>
      <c r="N3" s="20">
        <f>'N TRIBUTARIO'!M3</f>
        <v>1</v>
      </c>
      <c r="O3" s="20">
        <f>'N TRIBUTARIO'!N3</f>
        <v>0</v>
      </c>
      <c r="P3" s="20">
        <f>'N TRIBUTARIO'!O3</f>
        <v>0</v>
      </c>
      <c r="Q3" s="20">
        <f>'N TRIBUTARIO'!P3</f>
        <v>0</v>
      </c>
      <c r="R3" s="20">
        <f>'N TRIBUTARIO'!Q3</f>
        <v>0</v>
      </c>
      <c r="S3" s="20">
        <f>'N TRIBUTARIO'!R3</f>
        <v>0</v>
      </c>
      <c r="T3" s="20">
        <f>'N TRIBUTARIO'!S3</f>
        <v>0</v>
      </c>
      <c r="U3" s="20" t="str">
        <f>'N TRIBUTARIO'!T3</f>
        <v>-</v>
      </c>
      <c r="V3" s="20" t="str">
        <f>'N TRIBUTARIO'!U3</f>
        <v xml:space="preserve"> </v>
      </c>
      <c r="W3" s="20" t="str">
        <f>'N TRIBUTARIO'!V3</f>
        <v>APANECA-0102-CENTRO</v>
      </c>
      <c r="X3" s="20" t="str">
        <f>'N TRIBUTARIO'!W3</f>
        <v>0102-011079-001-9</v>
      </c>
      <c r="Y3" s="20" t="str">
        <f>'N TRIBUTARIO'!X3</f>
        <v>APANECA CENTRO</v>
      </c>
      <c r="Z3" s="20" t="str">
        <f>'N TRIBUTARIO'!Y3</f>
        <v>0102-011079-001-9 APANECA CENTRO</v>
      </c>
      <c r="AA3" s="20" t="str">
        <f>'N TRIBUTARIO'!Z3</f>
        <v>0102 APANECA-CENTRO</v>
      </c>
      <c r="AB3" s="20">
        <f>'N TRIBUTARIO'!AA3</f>
        <v>0</v>
      </c>
      <c r="AC3" s="20">
        <f>'N TRIBUTARIO'!AB3</f>
        <v>0</v>
      </c>
      <c r="AD3" s="20">
        <f>'N TRIBUTARIO'!AC3</f>
        <v>0</v>
      </c>
    </row>
    <row r="4" spans="1:30" ht="19" customHeight="1" x14ac:dyDescent="0.4">
      <c r="A4" s="20" t="str">
        <f>'N TRIBUTARIO'!A4</f>
        <v>N1</v>
      </c>
      <c r="B4" s="20" t="str">
        <f>'N TRIBUTARIO'!B4</f>
        <v>01</v>
      </c>
      <c r="C4" s="20" t="str">
        <f>'N TRIBUTARIO'!C4</f>
        <v>10</v>
      </c>
      <c r="D4" s="20" t="str">
        <f>'N TRIBUTARIO'!D4</f>
        <v>79</v>
      </c>
      <c r="E4" s="20" t="str">
        <f>'N TRIBUTARIO'!E4</f>
        <v>001</v>
      </c>
      <c r="F4" s="20">
        <f>'N TRIBUTARIO'!F4</f>
        <v>9</v>
      </c>
      <c r="G4" s="20">
        <f>'N TRIBUTARIO'!G4</f>
        <v>3</v>
      </c>
      <c r="H4" s="20" t="str">
        <f>'N TRIBUTARIO'!H4</f>
        <v>0103</v>
      </c>
      <c r="I4" s="20">
        <f>'N TRIBUTARIO'!I4</f>
        <v>0</v>
      </c>
      <c r="J4" s="20" t="s">
        <v>725</v>
      </c>
      <c r="K4" s="20" t="str">
        <f>'N TRIBUTARIO'!J4</f>
        <v>ATIQUIZAYA</v>
      </c>
      <c r="L4" s="20" t="str">
        <f>'N TRIBUTARIO'!K4</f>
        <v>NORTE</v>
      </c>
      <c r="M4" s="20" t="str">
        <f>'N TRIBUTARIO'!L4</f>
        <v>AHUACHAPAN</v>
      </c>
      <c r="N4" s="20">
        <f>'N TRIBUTARIO'!M4</f>
        <v>0</v>
      </c>
      <c r="O4" s="20">
        <f>'N TRIBUTARIO'!N4</f>
        <v>0</v>
      </c>
      <c r="P4" s="20">
        <f>'N TRIBUTARIO'!O4</f>
        <v>0</v>
      </c>
      <c r="Q4" s="20">
        <f>'N TRIBUTARIO'!P4</f>
        <v>1</v>
      </c>
      <c r="R4" s="20">
        <f>'N TRIBUTARIO'!Q4</f>
        <v>0</v>
      </c>
      <c r="S4" s="20">
        <f>'N TRIBUTARIO'!R4</f>
        <v>0</v>
      </c>
      <c r="T4" s="20">
        <f>'N TRIBUTARIO'!S4</f>
        <v>0</v>
      </c>
      <c r="U4" s="20" t="str">
        <f>'N TRIBUTARIO'!T4</f>
        <v>-</v>
      </c>
      <c r="V4" s="20" t="str">
        <f>'N TRIBUTARIO'!U4</f>
        <v xml:space="preserve"> </v>
      </c>
      <c r="W4" s="20" t="str">
        <f>'N TRIBUTARIO'!V4</f>
        <v>ATIQUIZAYA-0103-NORTE</v>
      </c>
      <c r="X4" s="20" t="str">
        <f>'N TRIBUTARIO'!W4</f>
        <v>0103-011079-001-9</v>
      </c>
      <c r="Y4" s="20" t="str">
        <f>'N TRIBUTARIO'!X4</f>
        <v>ATIQUIZAYA NORTE</v>
      </c>
      <c r="Z4" s="20" t="str">
        <f>'N TRIBUTARIO'!Y4</f>
        <v>0103-011079-001-9 ATIQUIZAYA NORTE</v>
      </c>
      <c r="AA4" s="20" t="str">
        <f>'N TRIBUTARIO'!Z4</f>
        <v>0103 ATIQUIZAYA-NORTE</v>
      </c>
      <c r="AB4" s="20">
        <f>'N TRIBUTARIO'!AA4</f>
        <v>146.88999999999999</v>
      </c>
      <c r="AC4" s="20">
        <f>'N TRIBUTARIO'!AB4</f>
        <v>61720</v>
      </c>
      <c r="AD4" s="20">
        <f>'N TRIBUTARIO'!AC4</f>
        <v>420.18</v>
      </c>
    </row>
    <row r="5" spans="1:30" ht="19" customHeight="1" x14ac:dyDescent="0.4">
      <c r="A5" s="20">
        <f>'N TRIBUTARIO'!A5</f>
        <v>0</v>
      </c>
      <c r="B5" s="20" t="str">
        <f>'N TRIBUTARIO'!B5</f>
        <v>01</v>
      </c>
      <c r="C5" s="20" t="str">
        <f>'N TRIBUTARIO'!C5</f>
        <v>10</v>
      </c>
      <c r="D5" s="20" t="str">
        <f>'N TRIBUTARIO'!D5</f>
        <v>79</v>
      </c>
      <c r="E5" s="20" t="str">
        <f>'N TRIBUTARIO'!E5</f>
        <v>001</v>
      </c>
      <c r="F5" s="20">
        <f>'N TRIBUTARIO'!F5</f>
        <v>9</v>
      </c>
      <c r="G5" s="20">
        <f>'N TRIBUTARIO'!G5</f>
        <v>4</v>
      </c>
      <c r="H5" s="20" t="str">
        <f>'N TRIBUTARIO'!H5</f>
        <v>0104</v>
      </c>
      <c r="I5" s="20">
        <f>'N TRIBUTARIO'!I5</f>
        <v>0</v>
      </c>
      <c r="J5" s="20" t="s">
        <v>725</v>
      </c>
      <c r="K5" s="20" t="str">
        <f>'N TRIBUTARIO'!J5</f>
        <v>CONCEPCION DE ATACO</v>
      </c>
      <c r="L5" s="20" t="str">
        <f>'N TRIBUTARIO'!K5</f>
        <v>CENTRO</v>
      </c>
      <c r="M5" s="20" t="str">
        <f>'N TRIBUTARIO'!L5</f>
        <v>AHUACHAPAN</v>
      </c>
      <c r="N5" s="20">
        <f>'N TRIBUTARIO'!M5</f>
        <v>1</v>
      </c>
      <c r="O5" s="20">
        <f>'N TRIBUTARIO'!N5</f>
        <v>0</v>
      </c>
      <c r="P5" s="20">
        <f>'N TRIBUTARIO'!O5</f>
        <v>0</v>
      </c>
      <c r="Q5" s="20">
        <f>'N TRIBUTARIO'!P5</f>
        <v>0</v>
      </c>
      <c r="R5" s="20">
        <f>'N TRIBUTARIO'!Q5</f>
        <v>0</v>
      </c>
      <c r="S5" s="20">
        <f>'N TRIBUTARIO'!R5</f>
        <v>0</v>
      </c>
      <c r="T5" s="20">
        <f>'N TRIBUTARIO'!S5</f>
        <v>0</v>
      </c>
      <c r="U5" s="20" t="str">
        <f>'N TRIBUTARIO'!T5</f>
        <v>-</v>
      </c>
      <c r="V5" s="20" t="str">
        <f>'N TRIBUTARIO'!U5</f>
        <v xml:space="preserve"> </v>
      </c>
      <c r="W5" s="20" t="str">
        <f>'N TRIBUTARIO'!V5</f>
        <v>CONCEPCION DE ATACO-0104-CENTRO</v>
      </c>
      <c r="X5" s="20" t="str">
        <f>'N TRIBUTARIO'!W5</f>
        <v>0104-011079-001-9</v>
      </c>
      <c r="Y5" s="20" t="str">
        <f>'N TRIBUTARIO'!X5</f>
        <v>CONCEPCION DE ATACO CENTRO</v>
      </c>
      <c r="Z5" s="20" t="str">
        <f>'N TRIBUTARIO'!Y5</f>
        <v>0104-011079-001-9 CONCEPCION DE ATACO CENTRO</v>
      </c>
      <c r="AA5" s="20" t="str">
        <f>'N TRIBUTARIO'!Z5</f>
        <v>0104 CONCEPCION DE ATACO-CENTRO</v>
      </c>
      <c r="AB5" s="20">
        <f>'N TRIBUTARIO'!AA5</f>
        <v>0</v>
      </c>
      <c r="AC5" s="20">
        <f>'N TRIBUTARIO'!AB5</f>
        <v>0</v>
      </c>
      <c r="AD5" s="20">
        <f>'N TRIBUTARIO'!AC5</f>
        <v>0</v>
      </c>
    </row>
    <row r="6" spans="1:30" ht="19" customHeight="1" x14ac:dyDescent="0.4">
      <c r="A6" s="20">
        <f>'N TRIBUTARIO'!A6</f>
        <v>0</v>
      </c>
      <c r="B6" s="20" t="str">
        <f>'N TRIBUTARIO'!B6</f>
        <v>01</v>
      </c>
      <c r="C6" s="20" t="str">
        <f>'N TRIBUTARIO'!C6</f>
        <v>10</v>
      </c>
      <c r="D6" s="20" t="str">
        <f>'N TRIBUTARIO'!D6</f>
        <v>79</v>
      </c>
      <c r="E6" s="20" t="str">
        <f>'N TRIBUTARIO'!E6</f>
        <v>001</v>
      </c>
      <c r="F6" s="20">
        <f>'N TRIBUTARIO'!F6</f>
        <v>9</v>
      </c>
      <c r="G6" s="20">
        <f>'N TRIBUTARIO'!G6</f>
        <v>5</v>
      </c>
      <c r="H6" s="20" t="str">
        <f>'N TRIBUTARIO'!H6</f>
        <v>0105</v>
      </c>
      <c r="I6" s="20">
        <f>'N TRIBUTARIO'!I6</f>
        <v>0</v>
      </c>
      <c r="J6" s="20" t="s">
        <v>725</v>
      </c>
      <c r="K6" s="20" t="str">
        <f>'N TRIBUTARIO'!J6</f>
        <v>EL REFUGIO</v>
      </c>
      <c r="L6" s="20" t="str">
        <f>'N TRIBUTARIO'!K6</f>
        <v>NORTE</v>
      </c>
      <c r="M6" s="20" t="str">
        <f>'N TRIBUTARIO'!L6</f>
        <v>AHUACHAPAN</v>
      </c>
      <c r="N6" s="20">
        <f>'N TRIBUTARIO'!M6</f>
        <v>0</v>
      </c>
      <c r="O6" s="20">
        <f>'N TRIBUTARIO'!N6</f>
        <v>0</v>
      </c>
      <c r="P6" s="20">
        <f>'N TRIBUTARIO'!O6</f>
        <v>0</v>
      </c>
      <c r="Q6" s="20">
        <f>'N TRIBUTARIO'!P6</f>
        <v>1</v>
      </c>
      <c r="R6" s="20">
        <f>'N TRIBUTARIO'!Q6</f>
        <v>0</v>
      </c>
      <c r="S6" s="20">
        <f>'N TRIBUTARIO'!R6</f>
        <v>0</v>
      </c>
      <c r="T6" s="20">
        <f>'N TRIBUTARIO'!S6</f>
        <v>0</v>
      </c>
      <c r="U6" s="20" t="str">
        <f>'N TRIBUTARIO'!T6</f>
        <v>-</v>
      </c>
      <c r="V6" s="20" t="str">
        <f>'N TRIBUTARIO'!U6</f>
        <v xml:space="preserve"> </v>
      </c>
      <c r="W6" s="20" t="str">
        <f>'N TRIBUTARIO'!V6</f>
        <v>EL REFUGIO-0105-NORTE</v>
      </c>
      <c r="X6" s="20" t="str">
        <f>'N TRIBUTARIO'!W6</f>
        <v>0105-011079-001-9</v>
      </c>
      <c r="Y6" s="20" t="str">
        <f>'N TRIBUTARIO'!X6</f>
        <v>EL REFUGIO NORTE</v>
      </c>
      <c r="Z6" s="20" t="str">
        <f>'N TRIBUTARIO'!Y6</f>
        <v>0105-011079-001-9 EL REFUGIO NORTE</v>
      </c>
      <c r="AA6" s="20" t="str">
        <f>'N TRIBUTARIO'!Z6</f>
        <v>0105 EL REFUGIO-NORTE</v>
      </c>
      <c r="AB6" s="20">
        <f>'N TRIBUTARIO'!AA6</f>
        <v>0</v>
      </c>
      <c r="AC6" s="20">
        <f>'N TRIBUTARIO'!AB6</f>
        <v>0</v>
      </c>
      <c r="AD6" s="20">
        <f>'N TRIBUTARIO'!AC6</f>
        <v>0</v>
      </c>
    </row>
    <row r="7" spans="1:30" ht="19" customHeight="1" x14ac:dyDescent="0.4">
      <c r="A7" s="20" t="str">
        <f>'N TRIBUTARIO'!A7</f>
        <v>S1</v>
      </c>
      <c r="B7" s="20" t="str">
        <f>'N TRIBUTARIO'!B7</f>
        <v>01</v>
      </c>
      <c r="C7" s="20" t="str">
        <f>'N TRIBUTARIO'!C7</f>
        <v>10</v>
      </c>
      <c r="D7" s="20" t="str">
        <f>'N TRIBUTARIO'!D7</f>
        <v>79</v>
      </c>
      <c r="E7" s="20" t="str">
        <f>'N TRIBUTARIO'!E7</f>
        <v>001</v>
      </c>
      <c r="F7" s="20">
        <f>'N TRIBUTARIO'!F7</f>
        <v>9</v>
      </c>
      <c r="G7" s="20">
        <f>'N TRIBUTARIO'!G7</f>
        <v>6</v>
      </c>
      <c r="H7" s="20" t="str">
        <f>'N TRIBUTARIO'!H7</f>
        <v>0106</v>
      </c>
      <c r="I7" s="20">
        <f>'N TRIBUTARIO'!I7</f>
        <v>0</v>
      </c>
      <c r="J7" s="20" t="s">
        <v>725</v>
      </c>
      <c r="K7" s="20" t="str">
        <f>'N TRIBUTARIO'!J7</f>
        <v>GUAYMANGO</v>
      </c>
      <c r="L7" s="20" t="str">
        <f>'N TRIBUTARIO'!K7</f>
        <v>SUR</v>
      </c>
      <c r="M7" s="20" t="str">
        <f>'N TRIBUTARIO'!L7</f>
        <v>AHUACHAPAN</v>
      </c>
      <c r="N7" s="20">
        <f>'N TRIBUTARIO'!M7</f>
        <v>0</v>
      </c>
      <c r="O7" s="20">
        <f>'N TRIBUTARIO'!N7</f>
        <v>0</v>
      </c>
      <c r="P7" s="20">
        <f>'N TRIBUTARIO'!O7</f>
        <v>0</v>
      </c>
      <c r="Q7" s="20">
        <f>'N TRIBUTARIO'!P7</f>
        <v>0</v>
      </c>
      <c r="R7" s="20">
        <f>'N TRIBUTARIO'!Q7</f>
        <v>0</v>
      </c>
      <c r="S7" s="20">
        <f>'N TRIBUTARIO'!R7</f>
        <v>1</v>
      </c>
      <c r="T7" s="20">
        <f>'N TRIBUTARIO'!S7</f>
        <v>0</v>
      </c>
      <c r="U7" s="20" t="str">
        <f>'N TRIBUTARIO'!T7</f>
        <v>-</v>
      </c>
      <c r="V7" s="20" t="str">
        <f>'N TRIBUTARIO'!U7</f>
        <v xml:space="preserve"> </v>
      </c>
      <c r="W7" s="20" t="str">
        <f>'N TRIBUTARIO'!V7</f>
        <v>GUAYMANGO-0106-SUR</v>
      </c>
      <c r="X7" s="20" t="str">
        <f>'N TRIBUTARIO'!W7</f>
        <v>0106-011079-001-9</v>
      </c>
      <c r="Y7" s="20" t="str">
        <f>'N TRIBUTARIO'!X7</f>
        <v>GUAYMANGO SUR</v>
      </c>
      <c r="Z7" s="20" t="str">
        <f>'N TRIBUTARIO'!Y7</f>
        <v>0106-011079-001-9 GUAYMANGO SUR</v>
      </c>
      <c r="AA7" s="20" t="str">
        <f>'N TRIBUTARIO'!Z7</f>
        <v>0106 GUAYMANGO-SUR</v>
      </c>
      <c r="AB7" s="20">
        <f>'N TRIBUTARIO'!AA7</f>
        <v>591.42999999999995</v>
      </c>
      <c r="AC7" s="20">
        <f>'N TRIBUTARIO'!AB7</f>
        <v>102457</v>
      </c>
      <c r="AD7" s="20">
        <f>'N TRIBUTARIO'!AC7</f>
        <v>173.24</v>
      </c>
    </row>
    <row r="8" spans="1:30" ht="19" customHeight="1" x14ac:dyDescent="0.4">
      <c r="A8" s="20">
        <f>'N TRIBUTARIO'!A8</f>
        <v>0</v>
      </c>
      <c r="B8" s="20" t="str">
        <f>'N TRIBUTARIO'!B8</f>
        <v>01</v>
      </c>
      <c r="C8" s="20" t="str">
        <f>'N TRIBUTARIO'!C8</f>
        <v>10</v>
      </c>
      <c r="D8" s="20" t="str">
        <f>'N TRIBUTARIO'!D8</f>
        <v>79</v>
      </c>
      <c r="E8" s="20" t="str">
        <f>'N TRIBUTARIO'!E8</f>
        <v>001</v>
      </c>
      <c r="F8" s="20">
        <f>'N TRIBUTARIO'!F8</f>
        <v>9</v>
      </c>
      <c r="G8" s="20">
        <f>'N TRIBUTARIO'!G8</f>
        <v>7</v>
      </c>
      <c r="H8" s="20" t="str">
        <f>'N TRIBUTARIO'!H8</f>
        <v>0107</v>
      </c>
      <c r="I8" s="20">
        <f>'N TRIBUTARIO'!I8</f>
        <v>0</v>
      </c>
      <c r="J8" s="20" t="s">
        <v>725</v>
      </c>
      <c r="K8" s="20" t="str">
        <f>'N TRIBUTARIO'!J8</f>
        <v>JUJUTLA</v>
      </c>
      <c r="L8" s="20" t="str">
        <f>'N TRIBUTARIO'!K8</f>
        <v>SUR</v>
      </c>
      <c r="M8" s="20" t="str">
        <f>'N TRIBUTARIO'!L8</f>
        <v>AHUACHAPAN</v>
      </c>
      <c r="N8" s="20">
        <f>'N TRIBUTARIO'!M8</f>
        <v>0</v>
      </c>
      <c r="O8" s="20">
        <f>'N TRIBUTARIO'!N8</f>
        <v>0</v>
      </c>
      <c r="P8" s="20">
        <f>'N TRIBUTARIO'!O8</f>
        <v>0</v>
      </c>
      <c r="Q8" s="20">
        <f>'N TRIBUTARIO'!P8</f>
        <v>0</v>
      </c>
      <c r="R8" s="20">
        <f>'N TRIBUTARIO'!Q8</f>
        <v>0</v>
      </c>
      <c r="S8" s="20">
        <f>'N TRIBUTARIO'!R8</f>
        <v>1</v>
      </c>
      <c r="T8" s="20">
        <f>'N TRIBUTARIO'!S8</f>
        <v>0</v>
      </c>
      <c r="U8" s="20" t="str">
        <f>'N TRIBUTARIO'!T8</f>
        <v>-</v>
      </c>
      <c r="V8" s="20" t="str">
        <f>'N TRIBUTARIO'!U8</f>
        <v xml:space="preserve"> </v>
      </c>
      <c r="W8" s="20" t="str">
        <f>'N TRIBUTARIO'!V8</f>
        <v>JUJUTLA-0107-SUR</v>
      </c>
      <c r="X8" s="20" t="str">
        <f>'N TRIBUTARIO'!W8</f>
        <v>0107-011079-001-9</v>
      </c>
      <c r="Y8" s="20" t="str">
        <f>'N TRIBUTARIO'!X8</f>
        <v>JUJUTLA SUR</v>
      </c>
      <c r="Z8" s="20" t="str">
        <f>'N TRIBUTARIO'!Y8</f>
        <v>0107-011079-001-9 JUJUTLA SUR</v>
      </c>
      <c r="AA8" s="20" t="str">
        <f>'N TRIBUTARIO'!Z8</f>
        <v>0107 JUJUTLA-SUR</v>
      </c>
      <c r="AB8" s="20">
        <f>'N TRIBUTARIO'!AA8</f>
        <v>0</v>
      </c>
      <c r="AC8" s="20">
        <f>'N TRIBUTARIO'!AB8</f>
        <v>0</v>
      </c>
      <c r="AD8" s="20">
        <f>'N TRIBUTARIO'!AC8</f>
        <v>0</v>
      </c>
    </row>
    <row r="9" spans="1:30" ht="19" customHeight="1" x14ac:dyDescent="0.4">
      <c r="A9" s="20">
        <f>'N TRIBUTARIO'!A9</f>
        <v>0</v>
      </c>
      <c r="B9" s="20" t="str">
        <f>'N TRIBUTARIO'!B9</f>
        <v>01</v>
      </c>
      <c r="C9" s="20" t="str">
        <f>'N TRIBUTARIO'!C9</f>
        <v>10</v>
      </c>
      <c r="D9" s="20" t="str">
        <f>'N TRIBUTARIO'!D9</f>
        <v>79</v>
      </c>
      <c r="E9" s="20" t="str">
        <f>'N TRIBUTARIO'!E9</f>
        <v>001</v>
      </c>
      <c r="F9" s="20">
        <f>'N TRIBUTARIO'!F9</f>
        <v>2</v>
      </c>
      <c r="G9" s="20">
        <f>'N TRIBUTARIO'!G9</f>
        <v>8</v>
      </c>
      <c r="H9" s="20" t="str">
        <f>'N TRIBUTARIO'!H9</f>
        <v>0108</v>
      </c>
      <c r="I9" s="20">
        <f>'N TRIBUTARIO'!I9</f>
        <v>0</v>
      </c>
      <c r="J9" s="20" t="s">
        <v>725</v>
      </c>
      <c r="K9" s="20" t="str">
        <f>'N TRIBUTARIO'!J9</f>
        <v>SAN FRANCISCO MENENDEZ</v>
      </c>
      <c r="L9" s="20" t="str">
        <f>'N TRIBUTARIO'!K9</f>
        <v>SUR</v>
      </c>
      <c r="M9" s="20" t="str">
        <f>'N TRIBUTARIO'!L9</f>
        <v>AHUACHAPAN</v>
      </c>
      <c r="N9" s="20">
        <f>'N TRIBUTARIO'!M9</f>
        <v>0</v>
      </c>
      <c r="O9" s="20">
        <f>'N TRIBUTARIO'!N9</f>
        <v>0</v>
      </c>
      <c r="P9" s="20">
        <f>'N TRIBUTARIO'!O9</f>
        <v>0</v>
      </c>
      <c r="Q9" s="20">
        <f>'N TRIBUTARIO'!P9</f>
        <v>0</v>
      </c>
      <c r="R9" s="20">
        <f>'N TRIBUTARIO'!Q9</f>
        <v>0</v>
      </c>
      <c r="S9" s="20">
        <f>'N TRIBUTARIO'!R9</f>
        <v>1</v>
      </c>
      <c r="T9" s="20">
        <f>'N TRIBUTARIO'!S9</f>
        <v>0</v>
      </c>
      <c r="U9" s="20" t="str">
        <f>'N TRIBUTARIO'!T9</f>
        <v>-</v>
      </c>
      <c r="V9" s="20" t="str">
        <f>'N TRIBUTARIO'!U9</f>
        <v xml:space="preserve"> </v>
      </c>
      <c r="W9" s="20" t="str">
        <f>'N TRIBUTARIO'!V9</f>
        <v>SAN FRANCISCO MENENDEZ-0108-SUR</v>
      </c>
      <c r="X9" s="20" t="str">
        <f>'N TRIBUTARIO'!W9</f>
        <v>0108-011079-001-2</v>
      </c>
      <c r="Y9" s="20" t="str">
        <f>'N TRIBUTARIO'!X9</f>
        <v>SAN FRANCISCO MENENDEZ SUR</v>
      </c>
      <c r="Z9" s="20" t="str">
        <f>'N TRIBUTARIO'!Y9</f>
        <v>0108-011079-001-2 SAN FRANCISCO MENENDEZ SUR</v>
      </c>
      <c r="AA9" s="20" t="str">
        <f>'N TRIBUTARIO'!Z9</f>
        <v>0108 SAN FRANCISCO MENENDEZ-SUR</v>
      </c>
      <c r="AB9" s="20">
        <f>'N TRIBUTARIO'!AA9</f>
        <v>0</v>
      </c>
      <c r="AC9" s="20">
        <f>'N TRIBUTARIO'!AB9</f>
        <v>0</v>
      </c>
      <c r="AD9" s="20">
        <f>'N TRIBUTARIO'!AC9</f>
        <v>0</v>
      </c>
    </row>
    <row r="10" spans="1:30" ht="19" customHeight="1" x14ac:dyDescent="0.4">
      <c r="A10" s="20">
        <f>'N TRIBUTARIO'!A10</f>
        <v>0</v>
      </c>
      <c r="B10" s="20" t="str">
        <f>'N TRIBUTARIO'!B10</f>
        <v>01</v>
      </c>
      <c r="C10" s="20" t="str">
        <f>'N TRIBUTARIO'!C10</f>
        <v>10</v>
      </c>
      <c r="D10" s="20" t="str">
        <f>'N TRIBUTARIO'!D10</f>
        <v>79</v>
      </c>
      <c r="E10" s="20" t="str">
        <f>'N TRIBUTARIO'!E10</f>
        <v>001</v>
      </c>
      <c r="F10" s="20">
        <f>'N TRIBUTARIO'!F10</f>
        <v>9</v>
      </c>
      <c r="G10" s="20">
        <f>'N TRIBUTARIO'!G10</f>
        <v>9</v>
      </c>
      <c r="H10" s="20" t="str">
        <f>'N TRIBUTARIO'!H10</f>
        <v>0109</v>
      </c>
      <c r="I10" s="20">
        <f>'N TRIBUTARIO'!I10</f>
        <v>0</v>
      </c>
      <c r="J10" s="20" t="s">
        <v>725</v>
      </c>
      <c r="K10" s="20" t="str">
        <f>'N TRIBUTARIO'!J10</f>
        <v>SAN LORENZO</v>
      </c>
      <c r="L10" s="20" t="str">
        <f>'N TRIBUTARIO'!K10</f>
        <v>NORTE</v>
      </c>
      <c r="M10" s="20" t="str">
        <f>'N TRIBUTARIO'!L10</f>
        <v>AHUACHAPAN</v>
      </c>
      <c r="N10" s="20">
        <f>'N TRIBUTARIO'!M10</f>
        <v>0</v>
      </c>
      <c r="O10" s="20">
        <f>'N TRIBUTARIO'!N10</f>
        <v>0</v>
      </c>
      <c r="P10" s="20">
        <f>'N TRIBUTARIO'!O10</f>
        <v>0</v>
      </c>
      <c r="Q10" s="20">
        <f>'N TRIBUTARIO'!P10</f>
        <v>1</v>
      </c>
      <c r="R10" s="20">
        <f>'N TRIBUTARIO'!Q10</f>
        <v>0</v>
      </c>
      <c r="S10" s="20">
        <f>'N TRIBUTARIO'!R10</f>
        <v>0</v>
      </c>
      <c r="T10" s="20">
        <f>'N TRIBUTARIO'!S10</f>
        <v>0</v>
      </c>
      <c r="U10" s="20" t="str">
        <f>'N TRIBUTARIO'!T10</f>
        <v>-</v>
      </c>
      <c r="V10" s="20" t="str">
        <f>'N TRIBUTARIO'!U10</f>
        <v xml:space="preserve"> </v>
      </c>
      <c r="W10" s="20" t="str">
        <f>'N TRIBUTARIO'!V10</f>
        <v>SAN LORENZO-0109-NORTE</v>
      </c>
      <c r="X10" s="20" t="str">
        <f>'N TRIBUTARIO'!W10</f>
        <v>0109-011079-001-9</v>
      </c>
      <c r="Y10" s="20" t="str">
        <f>'N TRIBUTARIO'!X10</f>
        <v>SAN LORENZO NORTE</v>
      </c>
      <c r="Z10" s="20" t="str">
        <f>'N TRIBUTARIO'!Y10</f>
        <v>0109-011079-001-9 SAN LORENZO NORTE</v>
      </c>
      <c r="AA10" s="20" t="str">
        <f>'N TRIBUTARIO'!Z10</f>
        <v>0109 SAN LORENZO-NORTE</v>
      </c>
      <c r="AB10" s="20">
        <f>'N TRIBUTARIO'!AA10</f>
        <v>0</v>
      </c>
      <c r="AC10" s="20">
        <f>'N TRIBUTARIO'!AB10</f>
        <v>0</v>
      </c>
      <c r="AD10" s="20">
        <f>'N TRIBUTARIO'!AC10</f>
        <v>0</v>
      </c>
    </row>
    <row r="11" spans="1:30" ht="19" customHeight="1" x14ac:dyDescent="0.4">
      <c r="A11" s="20">
        <f>'N TRIBUTARIO'!A11</f>
        <v>0</v>
      </c>
      <c r="B11" s="20" t="str">
        <f>'N TRIBUTARIO'!B11</f>
        <v>01</v>
      </c>
      <c r="C11" s="20" t="str">
        <f>'N TRIBUTARIO'!C11</f>
        <v>10</v>
      </c>
      <c r="D11" s="20" t="str">
        <f>'N TRIBUTARIO'!D11</f>
        <v>79</v>
      </c>
      <c r="E11" s="20" t="str">
        <f>'N TRIBUTARIO'!E11</f>
        <v>001</v>
      </c>
      <c r="F11" s="20">
        <f>'N TRIBUTARIO'!F11</f>
        <v>0</v>
      </c>
      <c r="G11" s="20">
        <f>'N TRIBUTARIO'!G11</f>
        <v>10</v>
      </c>
      <c r="H11" s="20" t="str">
        <f>'N TRIBUTARIO'!H11</f>
        <v>0110</v>
      </c>
      <c r="I11" s="20">
        <f>'N TRIBUTARIO'!I11</f>
        <v>0</v>
      </c>
      <c r="J11" s="20" t="s">
        <v>725</v>
      </c>
      <c r="K11" s="20" t="str">
        <f>'N TRIBUTARIO'!J11</f>
        <v>SAN PEDRO PUXTLA</v>
      </c>
      <c r="L11" s="20" t="str">
        <f>'N TRIBUTARIO'!K11</f>
        <v>SUR</v>
      </c>
      <c r="M11" s="20" t="str">
        <f>'N TRIBUTARIO'!L11</f>
        <v>AHUACHAPAN</v>
      </c>
      <c r="N11" s="20">
        <f>'N TRIBUTARIO'!M11</f>
        <v>0</v>
      </c>
      <c r="O11" s="20">
        <f>'N TRIBUTARIO'!N11</f>
        <v>0</v>
      </c>
      <c r="P11" s="20">
        <f>'N TRIBUTARIO'!O11</f>
        <v>0</v>
      </c>
      <c r="Q11" s="20">
        <f>'N TRIBUTARIO'!P11</f>
        <v>0</v>
      </c>
      <c r="R11" s="20">
        <f>'N TRIBUTARIO'!Q11</f>
        <v>0</v>
      </c>
      <c r="S11" s="20">
        <f>'N TRIBUTARIO'!R11</f>
        <v>1</v>
      </c>
      <c r="T11" s="20">
        <f>'N TRIBUTARIO'!S11</f>
        <v>0</v>
      </c>
      <c r="U11" s="20" t="str">
        <f>'N TRIBUTARIO'!T11</f>
        <v>-</v>
      </c>
      <c r="V11" s="20" t="str">
        <f>'N TRIBUTARIO'!U11</f>
        <v xml:space="preserve"> </v>
      </c>
      <c r="W11" s="20" t="str">
        <f>'N TRIBUTARIO'!V11</f>
        <v>SAN PEDRO PUXTLA-0110-SUR</v>
      </c>
      <c r="X11" s="20" t="str">
        <f>'N TRIBUTARIO'!W11</f>
        <v>0110-011079-001-0</v>
      </c>
      <c r="Y11" s="20" t="str">
        <f>'N TRIBUTARIO'!X11</f>
        <v>SAN PEDRO PUXTLA SUR</v>
      </c>
      <c r="Z11" s="20" t="str">
        <f>'N TRIBUTARIO'!Y11</f>
        <v>0110-011079-001-0 SAN PEDRO PUXTLA SUR</v>
      </c>
      <c r="AA11" s="20" t="str">
        <f>'N TRIBUTARIO'!Z11</f>
        <v>0110 SAN PEDRO PUXTLA-SUR</v>
      </c>
      <c r="AB11" s="20">
        <f>'N TRIBUTARIO'!AA11</f>
        <v>0</v>
      </c>
      <c r="AC11" s="20">
        <f>'N TRIBUTARIO'!AB11</f>
        <v>0</v>
      </c>
      <c r="AD11" s="20">
        <f>'N TRIBUTARIO'!AC11</f>
        <v>0</v>
      </c>
    </row>
    <row r="12" spans="1:30" ht="19" customHeight="1" x14ac:dyDescent="0.4">
      <c r="A12" s="20">
        <f>'N TRIBUTARIO'!A12</f>
        <v>0</v>
      </c>
      <c r="B12" s="20" t="str">
        <f>'N TRIBUTARIO'!B12</f>
        <v>01</v>
      </c>
      <c r="C12" s="20" t="str">
        <f>'N TRIBUTARIO'!C12</f>
        <v>10</v>
      </c>
      <c r="D12" s="20" t="str">
        <f>'N TRIBUTARIO'!D12</f>
        <v>79</v>
      </c>
      <c r="E12" s="20" t="str">
        <f>'N TRIBUTARIO'!E12</f>
        <v>001</v>
      </c>
      <c r="F12" s="20">
        <f>'N TRIBUTARIO'!F12</f>
        <v>0</v>
      </c>
      <c r="G12" s="20">
        <f>'N TRIBUTARIO'!G12</f>
        <v>11</v>
      </c>
      <c r="H12" s="20" t="str">
        <f>'N TRIBUTARIO'!H12</f>
        <v>0111</v>
      </c>
      <c r="I12" s="20">
        <f>'N TRIBUTARIO'!I12</f>
        <v>0</v>
      </c>
      <c r="J12" s="20" t="s">
        <v>725</v>
      </c>
      <c r="K12" s="20" t="str">
        <f>'N TRIBUTARIO'!J12</f>
        <v>TACUBA</v>
      </c>
      <c r="L12" s="20" t="str">
        <f>'N TRIBUTARIO'!K12</f>
        <v>CENTRO</v>
      </c>
      <c r="M12" s="20" t="str">
        <f>'N TRIBUTARIO'!L12</f>
        <v>AHUACHAPAN</v>
      </c>
      <c r="N12" s="20">
        <f>'N TRIBUTARIO'!M12</f>
        <v>1</v>
      </c>
      <c r="O12" s="20">
        <f>'N TRIBUTARIO'!N12</f>
        <v>0</v>
      </c>
      <c r="P12" s="20">
        <f>'N TRIBUTARIO'!O12</f>
        <v>0</v>
      </c>
      <c r="Q12" s="20">
        <f>'N TRIBUTARIO'!P12</f>
        <v>0</v>
      </c>
      <c r="R12" s="20">
        <f>'N TRIBUTARIO'!Q12</f>
        <v>0</v>
      </c>
      <c r="S12" s="20">
        <f>'N TRIBUTARIO'!R12</f>
        <v>0</v>
      </c>
      <c r="T12" s="20">
        <f>'N TRIBUTARIO'!S12</f>
        <v>0</v>
      </c>
      <c r="U12" s="20" t="str">
        <f>'N TRIBUTARIO'!T12</f>
        <v>-</v>
      </c>
      <c r="V12" s="20" t="str">
        <f>'N TRIBUTARIO'!U12</f>
        <v xml:space="preserve"> </v>
      </c>
      <c r="W12" s="20" t="str">
        <f>'N TRIBUTARIO'!V12</f>
        <v>TACUBA-0111-CENTRO</v>
      </c>
      <c r="X12" s="20" t="str">
        <f>'N TRIBUTARIO'!W12</f>
        <v>0111-011079-001-0</v>
      </c>
      <c r="Y12" s="20" t="str">
        <f>'N TRIBUTARIO'!X12</f>
        <v>TACUBA CENTRO</v>
      </c>
      <c r="Z12" s="20" t="str">
        <f>'N TRIBUTARIO'!Y12</f>
        <v>0111-011079-001-0 TACUBA CENTRO</v>
      </c>
      <c r="AA12" s="20" t="str">
        <f>'N TRIBUTARIO'!Z12</f>
        <v>0111 TACUBA-CENTRO</v>
      </c>
      <c r="AB12" s="20">
        <f>'N TRIBUTARIO'!AA12</f>
        <v>0</v>
      </c>
      <c r="AC12" s="20">
        <f>'N TRIBUTARIO'!AB12</f>
        <v>0</v>
      </c>
      <c r="AD12" s="20">
        <f>'N TRIBUTARIO'!AC12</f>
        <v>0</v>
      </c>
    </row>
    <row r="13" spans="1:30" ht="19" customHeight="1" x14ac:dyDescent="0.4">
      <c r="A13" s="20">
        <f>'N TRIBUTARIO'!A13</f>
        <v>0</v>
      </c>
      <c r="B13" s="20" t="str">
        <f>'N TRIBUTARIO'!B13</f>
        <v>01</v>
      </c>
      <c r="C13" s="20" t="str">
        <f>'N TRIBUTARIO'!C13</f>
        <v>10</v>
      </c>
      <c r="D13" s="20" t="str">
        <f>'N TRIBUTARIO'!D13</f>
        <v>79</v>
      </c>
      <c r="E13" s="20" t="str">
        <f>'N TRIBUTARIO'!E13</f>
        <v>001</v>
      </c>
      <c r="F13" s="20">
        <f>'N TRIBUTARIO'!F13</f>
        <v>0</v>
      </c>
      <c r="G13" s="20">
        <f>'N TRIBUTARIO'!G13</f>
        <v>12</v>
      </c>
      <c r="H13" s="20" t="str">
        <f>'N TRIBUTARIO'!H13</f>
        <v>0112</v>
      </c>
      <c r="I13" s="20">
        <f>'N TRIBUTARIO'!I13</f>
        <v>0</v>
      </c>
      <c r="J13" s="20" t="s">
        <v>725</v>
      </c>
      <c r="K13" s="20" t="str">
        <f>'N TRIBUTARIO'!J13</f>
        <v>TURIN</v>
      </c>
      <c r="L13" s="20" t="str">
        <f>'N TRIBUTARIO'!K13</f>
        <v>NORTE</v>
      </c>
      <c r="M13" s="20" t="str">
        <f>'N TRIBUTARIO'!L13</f>
        <v>AHUACHAPAN</v>
      </c>
      <c r="N13" s="20">
        <f>'N TRIBUTARIO'!M13</f>
        <v>0</v>
      </c>
      <c r="O13" s="20">
        <f>'N TRIBUTARIO'!N13</f>
        <v>0</v>
      </c>
      <c r="P13" s="20">
        <f>'N TRIBUTARIO'!O13</f>
        <v>0</v>
      </c>
      <c r="Q13" s="20">
        <f>'N TRIBUTARIO'!P13</f>
        <v>1</v>
      </c>
      <c r="R13" s="20">
        <f>'N TRIBUTARIO'!Q13</f>
        <v>0</v>
      </c>
      <c r="S13" s="20">
        <f>'N TRIBUTARIO'!R13</f>
        <v>0</v>
      </c>
      <c r="T13" s="20">
        <f>'N TRIBUTARIO'!S13</f>
        <v>0</v>
      </c>
      <c r="U13" s="20" t="str">
        <f>'N TRIBUTARIO'!T13</f>
        <v>-</v>
      </c>
      <c r="V13" s="20" t="str">
        <f>'N TRIBUTARIO'!U13</f>
        <v xml:space="preserve"> </v>
      </c>
      <c r="W13" s="20" t="str">
        <f>'N TRIBUTARIO'!V13</f>
        <v>TURIN-0112-NORTE</v>
      </c>
      <c r="X13" s="20" t="str">
        <f>'N TRIBUTARIO'!W13</f>
        <v>0112-011079-001-0</v>
      </c>
      <c r="Y13" s="20" t="str">
        <f>'N TRIBUTARIO'!X13</f>
        <v>TURIN NORTE</v>
      </c>
      <c r="Z13" s="20" t="str">
        <f>'N TRIBUTARIO'!Y13</f>
        <v>0112-011079-001-0 TURIN NORTE</v>
      </c>
      <c r="AA13" s="20" t="str">
        <f>'N TRIBUTARIO'!Z13</f>
        <v>0112 TURIN-NORTE</v>
      </c>
      <c r="AB13" s="20">
        <f>'N TRIBUTARIO'!AA13</f>
        <v>0</v>
      </c>
      <c r="AC13" s="20">
        <f>'N TRIBUTARIO'!AB13</f>
        <v>0</v>
      </c>
      <c r="AD13" s="20">
        <f>'N TRIBUTARIO'!AC13</f>
        <v>0</v>
      </c>
    </row>
    <row r="14" spans="1:30" ht="19" customHeight="1" x14ac:dyDescent="0.4">
      <c r="N14" s="1">
        <f>SUM(N2:N13)</f>
        <v>4</v>
      </c>
      <c r="O14" s="1">
        <f t="shared" ref="O14:T14" si="0">SUM(O2:O13)</f>
        <v>0</v>
      </c>
      <c r="P14" s="1">
        <f t="shared" si="0"/>
        <v>0</v>
      </c>
      <c r="Q14" s="1">
        <f t="shared" si="0"/>
        <v>4</v>
      </c>
      <c r="R14" s="1">
        <f t="shared" si="0"/>
        <v>0</v>
      </c>
      <c r="S14" s="1">
        <f t="shared" si="0"/>
        <v>4</v>
      </c>
      <c r="T14" s="1">
        <f t="shared" si="0"/>
        <v>0</v>
      </c>
    </row>
    <row r="16" spans="1:30" ht="19" customHeight="1" x14ac:dyDescent="0.4">
      <c r="I16" s="1" t="str">
        <f>N1</f>
        <v>CENTRO</v>
      </c>
      <c r="K16" s="1" t="str">
        <f>CONCATENATE(K2,J2,K3,J3,K5,J5,K12)</f>
        <v>AHUACHAPAN, APANECA, CONCEPCION DE ATACO, TACUBA</v>
      </c>
    </row>
    <row r="17" spans="9:11" ht="19" customHeight="1" x14ac:dyDescent="0.4">
      <c r="I17" s="1" t="str">
        <f>Q1</f>
        <v>NORTE</v>
      </c>
      <c r="K17" s="1" t="str">
        <f>CONCATENATE(K4,J4,K6,J6,K10,J10,K13)</f>
        <v>ATIQUIZAYA, EL REFUGIO, SAN LORENZO, TURIN</v>
      </c>
    </row>
    <row r="18" spans="9:11" ht="19" customHeight="1" x14ac:dyDescent="0.4">
      <c r="I18" s="1" t="str">
        <f>S1</f>
        <v>SUR</v>
      </c>
      <c r="K18" s="1" t="str">
        <f>CONCATENATE(K7,J7,K8,J8,K9,J9,K11,J1)</f>
        <v>GUAYMANGO, JUJUTLA, SAN FRANCISCO MENENDEZ, SAN PEDRO PUXTLA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4E24-165C-444D-A045-26AEDE961869}">
  <sheetPr codeName="Hoja9"/>
  <dimension ref="A1:AD21"/>
  <sheetViews>
    <sheetView showZeros="0" topLeftCell="A5"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9" t="str">
        <f>'N TRIBUTARIO'!A14</f>
        <v>O1</v>
      </c>
      <c r="B2" s="19" t="str">
        <f>'N TRIBUTARIO'!B14</f>
        <v>01</v>
      </c>
      <c r="C2" s="19" t="str">
        <f>'N TRIBUTARIO'!C14</f>
        <v>10</v>
      </c>
      <c r="D2" s="19" t="str">
        <f>'N TRIBUTARIO'!D14</f>
        <v>79</v>
      </c>
      <c r="E2" s="19" t="str">
        <f>'N TRIBUTARIO'!E14</f>
        <v>001</v>
      </c>
      <c r="F2" s="19">
        <f>'N TRIBUTARIO'!F14</f>
        <v>9</v>
      </c>
      <c r="G2" s="19">
        <f>'N TRIBUTARIO'!G14</f>
        <v>13</v>
      </c>
      <c r="H2" s="19" t="str">
        <f>'N TRIBUTARIO'!H14</f>
        <v>0201</v>
      </c>
      <c r="I2" s="19">
        <f>'N TRIBUTARIO'!I14</f>
        <v>0</v>
      </c>
      <c r="J2" s="19" t="s">
        <v>725</v>
      </c>
      <c r="K2" s="19" t="str">
        <f>'N TRIBUTARIO'!J14</f>
        <v>CANDELARIA DE LA FRONTERA</v>
      </c>
      <c r="L2" s="19" t="str">
        <f>'N TRIBUTARIO'!K14</f>
        <v>OESTE</v>
      </c>
      <c r="M2" s="19" t="str">
        <f>'N TRIBUTARIO'!L14</f>
        <v>SANTA ANA</v>
      </c>
      <c r="N2" s="19">
        <f>'N TRIBUTARIO'!M14</f>
        <v>0</v>
      </c>
      <c r="O2" s="19">
        <f>'N TRIBUTARIO'!N14</f>
        <v>0</v>
      </c>
      <c r="P2" s="19">
        <f>'N TRIBUTARIO'!O14</f>
        <v>0</v>
      </c>
      <c r="Q2" s="19">
        <f>'N TRIBUTARIO'!P14</f>
        <v>0</v>
      </c>
      <c r="R2" s="19">
        <f>'N TRIBUTARIO'!Q14</f>
        <v>1</v>
      </c>
      <c r="S2" s="19">
        <f>'N TRIBUTARIO'!R14</f>
        <v>0</v>
      </c>
      <c r="T2" s="19">
        <f>'N TRIBUTARIO'!S14</f>
        <v>0</v>
      </c>
      <c r="U2" s="19" t="str">
        <f>'N TRIBUTARIO'!T14</f>
        <v>-</v>
      </c>
      <c r="V2" s="19" t="str">
        <f>'N TRIBUTARIO'!U14</f>
        <v xml:space="preserve"> </v>
      </c>
      <c r="W2" s="19" t="str">
        <f>'N TRIBUTARIO'!V14</f>
        <v>CANDELARIA DE LA FRONTERA-0201-OESTE</v>
      </c>
      <c r="X2" s="19" t="str">
        <f>'N TRIBUTARIO'!W14</f>
        <v>0201-011079-001-9</v>
      </c>
      <c r="Y2" s="19" t="str">
        <f>'N TRIBUTARIO'!X14</f>
        <v>CANDELARIA DE LA FRONTERA OESTE</v>
      </c>
      <c r="Z2" s="19" t="str">
        <f>'N TRIBUTARIO'!Y14</f>
        <v>0201-011079-001-9 CANDELARIA DE LA FRONTERA OESTE</v>
      </c>
      <c r="AA2" s="19" t="str">
        <f>'N TRIBUTARIO'!Z14</f>
        <v>0201 CANDELARIA DE LA FRONTERA-OESTE</v>
      </c>
      <c r="AB2" s="19">
        <f>'N TRIBUTARIO'!AA14</f>
        <v>447.87</v>
      </c>
      <c r="AC2" s="19">
        <f>'N TRIBUTARIO'!AB14</f>
        <v>172035</v>
      </c>
      <c r="AD2" s="19">
        <f>'N TRIBUTARIO'!AC14</f>
        <v>384.12</v>
      </c>
    </row>
    <row r="3" spans="1:30" ht="19" customHeight="1" x14ac:dyDescent="0.4">
      <c r="A3" s="19" t="str">
        <f>'N TRIBUTARIO'!A15</f>
        <v>E1</v>
      </c>
      <c r="B3" s="19" t="str">
        <f>'N TRIBUTARIO'!B15</f>
        <v>01</v>
      </c>
      <c r="C3" s="19" t="str">
        <f>'N TRIBUTARIO'!C15</f>
        <v>06</v>
      </c>
      <c r="D3" s="19" t="str">
        <f>'N TRIBUTARIO'!D15</f>
        <v>11</v>
      </c>
      <c r="E3" s="19" t="str">
        <f>'N TRIBUTARIO'!E15</f>
        <v>001</v>
      </c>
      <c r="F3" s="19">
        <f>'N TRIBUTARIO'!F15</f>
        <v>2</v>
      </c>
      <c r="G3" s="19">
        <f>'N TRIBUTARIO'!G15</f>
        <v>14</v>
      </c>
      <c r="H3" s="19" t="str">
        <f>'N TRIBUTARIO'!H15</f>
        <v>0202</v>
      </c>
      <c r="I3" s="19">
        <f>'N TRIBUTARIO'!I15</f>
        <v>0</v>
      </c>
      <c r="J3" s="19" t="s">
        <v>725</v>
      </c>
      <c r="K3" s="19" t="str">
        <f>'N TRIBUTARIO'!J15</f>
        <v>COATEPEQUE</v>
      </c>
      <c r="L3" s="19" t="str">
        <f>'N TRIBUTARIO'!K15</f>
        <v>ESTE</v>
      </c>
      <c r="M3" s="19" t="str">
        <f>'N TRIBUTARIO'!L15</f>
        <v>SANTA ANA</v>
      </c>
      <c r="N3" s="19">
        <f>'N TRIBUTARIO'!M15</f>
        <v>0</v>
      </c>
      <c r="O3" s="19">
        <f>'N TRIBUTARIO'!N15</f>
        <v>0</v>
      </c>
      <c r="P3" s="19">
        <f>'N TRIBUTARIO'!O15</f>
        <v>1</v>
      </c>
      <c r="Q3" s="19">
        <f>'N TRIBUTARIO'!P15</f>
        <v>0</v>
      </c>
      <c r="R3" s="19">
        <f>'N TRIBUTARIO'!Q15</f>
        <v>0</v>
      </c>
      <c r="S3" s="19">
        <f>'N TRIBUTARIO'!R15</f>
        <v>0</v>
      </c>
      <c r="T3" s="19">
        <f>'N TRIBUTARIO'!S15</f>
        <v>0</v>
      </c>
      <c r="U3" s="19" t="str">
        <f>'N TRIBUTARIO'!T15</f>
        <v>-</v>
      </c>
      <c r="V3" s="19" t="str">
        <f>'N TRIBUTARIO'!U15</f>
        <v xml:space="preserve"> </v>
      </c>
      <c r="W3" s="19" t="str">
        <f>'N TRIBUTARIO'!V15</f>
        <v>COATEPEQUE-0202-ESTE</v>
      </c>
      <c r="X3" s="19" t="str">
        <f>'N TRIBUTARIO'!W15</f>
        <v>0202-010611-001-2</v>
      </c>
      <c r="Y3" s="19" t="str">
        <f>'N TRIBUTARIO'!X15</f>
        <v>COATEPEQUE ESTE</v>
      </c>
      <c r="Z3" s="19" t="str">
        <f>'N TRIBUTARIO'!Y15</f>
        <v>0202-010611-001-2 COATEPEQUE ESTE</v>
      </c>
      <c r="AA3" s="19" t="str">
        <f>'N TRIBUTARIO'!Z15</f>
        <v>0202 COATEPEQUE-ESTE</v>
      </c>
      <c r="AB3" s="19">
        <f>'N TRIBUTARIO'!AA15</f>
        <v>218.28</v>
      </c>
      <c r="AC3" s="19">
        <f>'N TRIBUTARIO'!AB15</f>
        <v>64061</v>
      </c>
      <c r="AD3" s="19">
        <f>'N TRIBUTARIO'!AC15</f>
        <v>293.48</v>
      </c>
    </row>
    <row r="4" spans="1:30" ht="19" customHeight="1" x14ac:dyDescent="0.4">
      <c r="A4" s="19">
        <f>'N TRIBUTARIO'!A16</f>
        <v>0</v>
      </c>
      <c r="B4" s="19" t="str">
        <f>'N TRIBUTARIO'!B16</f>
        <v>01</v>
      </c>
      <c r="C4" s="19" t="str">
        <f>'N TRIBUTARIO'!C16</f>
        <v>06</v>
      </c>
      <c r="D4" s="19" t="str">
        <f>'N TRIBUTARIO'!D16</f>
        <v>11</v>
      </c>
      <c r="E4" s="19" t="str">
        <f>'N TRIBUTARIO'!E16</f>
        <v>001</v>
      </c>
      <c r="F4" s="19">
        <f>'N TRIBUTARIO'!F16</f>
        <v>2</v>
      </c>
      <c r="G4" s="19">
        <f>'N TRIBUTARIO'!G16</f>
        <v>15</v>
      </c>
      <c r="H4" s="19" t="str">
        <f>'N TRIBUTARIO'!H16</f>
        <v>0203</v>
      </c>
      <c r="I4" s="19">
        <f>'N TRIBUTARIO'!I16</f>
        <v>0</v>
      </c>
      <c r="J4" s="19" t="s">
        <v>725</v>
      </c>
      <c r="K4" s="19" t="str">
        <f>'N TRIBUTARIO'!J16</f>
        <v>CHALCHUAPA</v>
      </c>
      <c r="L4" s="19" t="str">
        <f>'N TRIBUTARIO'!K16</f>
        <v>OESTE</v>
      </c>
      <c r="M4" s="19" t="str">
        <f>'N TRIBUTARIO'!L16</f>
        <v>SANTA ANA</v>
      </c>
      <c r="N4" s="19">
        <f>'N TRIBUTARIO'!M16</f>
        <v>0</v>
      </c>
      <c r="O4" s="19">
        <f>'N TRIBUTARIO'!N16</f>
        <v>0</v>
      </c>
      <c r="P4" s="19">
        <f>'N TRIBUTARIO'!O16</f>
        <v>0</v>
      </c>
      <c r="Q4" s="19">
        <f>'N TRIBUTARIO'!P16</f>
        <v>0</v>
      </c>
      <c r="R4" s="19">
        <f>'N TRIBUTARIO'!Q16</f>
        <v>1</v>
      </c>
      <c r="S4" s="19">
        <f>'N TRIBUTARIO'!R16</f>
        <v>0</v>
      </c>
      <c r="T4" s="19">
        <f>'N TRIBUTARIO'!S16</f>
        <v>0</v>
      </c>
      <c r="U4" s="19" t="str">
        <f>'N TRIBUTARIO'!T16</f>
        <v>-</v>
      </c>
      <c r="V4" s="19" t="str">
        <f>'N TRIBUTARIO'!U16</f>
        <v xml:space="preserve"> </v>
      </c>
      <c r="W4" s="19" t="str">
        <f>'N TRIBUTARIO'!V16</f>
        <v>CHALCHUAPA-0203-OESTE</v>
      </c>
      <c r="X4" s="19" t="str">
        <f>'N TRIBUTARIO'!W16</f>
        <v>0203-010611-001-2</v>
      </c>
      <c r="Y4" s="19" t="str">
        <f>'N TRIBUTARIO'!X16</f>
        <v>CHALCHUAPA OESTE</v>
      </c>
      <c r="Z4" s="19" t="str">
        <f>'N TRIBUTARIO'!Y16</f>
        <v>0203-010611-001-2 CHALCHUAPA OESTE</v>
      </c>
      <c r="AA4" s="19" t="str">
        <f>'N TRIBUTARIO'!Z16</f>
        <v>0203 CHALCHUAPA-OESTE</v>
      </c>
      <c r="AB4" s="19">
        <f>'N TRIBUTARIO'!AA16</f>
        <v>0</v>
      </c>
      <c r="AC4" s="19">
        <f>'N TRIBUTARIO'!AB16</f>
        <v>0</v>
      </c>
      <c r="AD4" s="19">
        <f>'N TRIBUTARIO'!AC16</f>
        <v>0</v>
      </c>
    </row>
    <row r="5" spans="1:30" ht="19" customHeight="1" x14ac:dyDescent="0.4">
      <c r="A5" s="19">
        <f>'N TRIBUTARIO'!A17</f>
        <v>0</v>
      </c>
      <c r="B5" s="19" t="str">
        <f>'N TRIBUTARIO'!B17</f>
        <v>02</v>
      </c>
      <c r="C5" s="19" t="str">
        <f>'N TRIBUTARIO'!C17</f>
        <v>10</v>
      </c>
      <c r="D5" s="19" t="str">
        <f>'N TRIBUTARIO'!D17</f>
        <v>79</v>
      </c>
      <c r="E5" s="19" t="str">
        <f>'N TRIBUTARIO'!E17</f>
        <v>001</v>
      </c>
      <c r="F5" s="19">
        <f>'N TRIBUTARIO'!F17</f>
        <v>9</v>
      </c>
      <c r="G5" s="19">
        <f>'N TRIBUTARIO'!G17</f>
        <v>16</v>
      </c>
      <c r="H5" s="19" t="str">
        <f>'N TRIBUTARIO'!H17</f>
        <v>0204</v>
      </c>
      <c r="I5" s="19">
        <f>'N TRIBUTARIO'!I17</f>
        <v>0</v>
      </c>
      <c r="J5" s="19" t="s">
        <v>725</v>
      </c>
      <c r="K5" s="19" t="str">
        <f>'N TRIBUTARIO'!J17</f>
        <v>EL CONGO</v>
      </c>
      <c r="L5" s="19" t="str">
        <f>'N TRIBUTARIO'!K17</f>
        <v>ESTE</v>
      </c>
      <c r="M5" s="19" t="str">
        <f>'N TRIBUTARIO'!L17</f>
        <v>SANTA ANA</v>
      </c>
      <c r="N5" s="19">
        <f>'N TRIBUTARIO'!M17</f>
        <v>0</v>
      </c>
      <c r="O5" s="19">
        <f>'N TRIBUTARIO'!N17</f>
        <v>0</v>
      </c>
      <c r="P5" s="19">
        <f>'N TRIBUTARIO'!O17</f>
        <v>1</v>
      </c>
      <c r="Q5" s="19">
        <f>'N TRIBUTARIO'!P17</f>
        <v>0</v>
      </c>
      <c r="R5" s="19">
        <f>'N TRIBUTARIO'!Q17</f>
        <v>0</v>
      </c>
      <c r="S5" s="19">
        <f>'N TRIBUTARIO'!R17</f>
        <v>0</v>
      </c>
      <c r="T5" s="19">
        <f>'N TRIBUTARIO'!S17</f>
        <v>0</v>
      </c>
      <c r="U5" s="19" t="str">
        <f>'N TRIBUTARIO'!T17</f>
        <v>-</v>
      </c>
      <c r="V5" s="19" t="str">
        <f>'N TRIBUTARIO'!U17</f>
        <v xml:space="preserve"> </v>
      </c>
      <c r="W5" s="19" t="str">
        <f>'N TRIBUTARIO'!V17</f>
        <v>EL CONGO-0204-ESTE</v>
      </c>
      <c r="X5" s="19" t="str">
        <f>'N TRIBUTARIO'!W17</f>
        <v>0204-021079-001-9</v>
      </c>
      <c r="Y5" s="19" t="str">
        <f>'N TRIBUTARIO'!X17</f>
        <v>EL CONGO ESTE</v>
      </c>
      <c r="Z5" s="19" t="str">
        <f>'N TRIBUTARIO'!Y17</f>
        <v>0204-021079-001-9 EL CONGO ESTE</v>
      </c>
      <c r="AA5" s="19" t="str">
        <f>'N TRIBUTARIO'!Z17</f>
        <v>0204 EL CONGO-ESTE</v>
      </c>
      <c r="AB5" s="19">
        <f>'N TRIBUTARIO'!AA17</f>
        <v>0</v>
      </c>
      <c r="AC5" s="19">
        <f>'N TRIBUTARIO'!AB17</f>
        <v>0</v>
      </c>
      <c r="AD5" s="19">
        <f>'N TRIBUTARIO'!AC17</f>
        <v>0</v>
      </c>
    </row>
    <row r="6" spans="1:30" ht="19" customHeight="1" x14ac:dyDescent="0.4">
      <c r="A6" s="19">
        <f>'N TRIBUTARIO'!A18</f>
        <v>0</v>
      </c>
      <c r="B6" s="19" t="str">
        <f>'N TRIBUTARIO'!B18</f>
        <v>02</v>
      </c>
      <c r="C6" s="19" t="str">
        <f>'N TRIBUTARIO'!C18</f>
        <v>10</v>
      </c>
      <c r="D6" s="19" t="str">
        <f>'N TRIBUTARIO'!D18</f>
        <v>79</v>
      </c>
      <c r="E6" s="19" t="str">
        <f>'N TRIBUTARIO'!E18</f>
        <v>001</v>
      </c>
      <c r="F6" s="19">
        <f>'N TRIBUTARIO'!F18</f>
        <v>9</v>
      </c>
      <c r="G6" s="19">
        <f>'N TRIBUTARIO'!G18</f>
        <v>17</v>
      </c>
      <c r="H6" s="19" t="str">
        <f>'N TRIBUTARIO'!H18</f>
        <v>0205</v>
      </c>
      <c r="I6" s="19">
        <f>'N TRIBUTARIO'!I18</f>
        <v>0</v>
      </c>
      <c r="J6" s="19" t="s">
        <v>725</v>
      </c>
      <c r="K6" s="19" t="str">
        <f>'N TRIBUTARIO'!J18</f>
        <v>EL PORVENIR</v>
      </c>
      <c r="L6" s="19" t="str">
        <f>'N TRIBUTARIO'!K18</f>
        <v>OESTE</v>
      </c>
      <c r="M6" s="19" t="str">
        <f>'N TRIBUTARIO'!L18</f>
        <v>SANTA ANA</v>
      </c>
      <c r="N6" s="19">
        <f>'N TRIBUTARIO'!M18</f>
        <v>0</v>
      </c>
      <c r="O6" s="19">
        <f>'N TRIBUTARIO'!N18</f>
        <v>0</v>
      </c>
      <c r="P6" s="19">
        <f>'N TRIBUTARIO'!O18</f>
        <v>0</v>
      </c>
      <c r="Q6" s="19">
        <f>'N TRIBUTARIO'!P18</f>
        <v>0</v>
      </c>
      <c r="R6" s="19">
        <f>'N TRIBUTARIO'!Q18</f>
        <v>1</v>
      </c>
      <c r="S6" s="19">
        <f>'N TRIBUTARIO'!R18</f>
        <v>0</v>
      </c>
      <c r="T6" s="19">
        <f>'N TRIBUTARIO'!S18</f>
        <v>0</v>
      </c>
      <c r="U6" s="19" t="str">
        <f>'N TRIBUTARIO'!T18</f>
        <v>-</v>
      </c>
      <c r="V6" s="19" t="str">
        <f>'N TRIBUTARIO'!U18</f>
        <v xml:space="preserve"> </v>
      </c>
      <c r="W6" s="19" t="str">
        <f>'N TRIBUTARIO'!V18</f>
        <v>EL PORVENIR-0205-OESTE</v>
      </c>
      <c r="X6" s="19" t="str">
        <f>'N TRIBUTARIO'!W18</f>
        <v>0205-021079-001-9</v>
      </c>
      <c r="Y6" s="19" t="str">
        <f>'N TRIBUTARIO'!X18</f>
        <v>EL PORVENIR OESTE</v>
      </c>
      <c r="Z6" s="19" t="str">
        <f>'N TRIBUTARIO'!Y18</f>
        <v>0205-021079-001-9 EL PORVENIR OESTE</v>
      </c>
      <c r="AA6" s="19" t="str">
        <f>'N TRIBUTARIO'!Z18</f>
        <v>0205 EL PORVENIR-OESTE</v>
      </c>
      <c r="AB6" s="19">
        <f>'N TRIBUTARIO'!AA18</f>
        <v>0</v>
      </c>
      <c r="AC6" s="19">
        <f>'N TRIBUTARIO'!AB18</f>
        <v>0</v>
      </c>
      <c r="AD6" s="19">
        <f>'N TRIBUTARIO'!AC18</f>
        <v>0</v>
      </c>
    </row>
    <row r="7" spans="1:30" ht="19" customHeight="1" x14ac:dyDescent="0.4">
      <c r="A7" s="19" t="str">
        <f>'N TRIBUTARIO'!A19</f>
        <v>N1</v>
      </c>
      <c r="B7" s="19" t="str">
        <f>'N TRIBUTARIO'!B19</f>
        <v>02</v>
      </c>
      <c r="C7" s="19" t="str">
        <f>'N TRIBUTARIO'!C19</f>
        <v>10</v>
      </c>
      <c r="D7" s="19" t="str">
        <f>'N TRIBUTARIO'!D19</f>
        <v>79</v>
      </c>
      <c r="E7" s="19" t="str">
        <f>'N TRIBUTARIO'!E19</f>
        <v>001</v>
      </c>
      <c r="F7" s="19">
        <f>'N TRIBUTARIO'!F19</f>
        <v>9</v>
      </c>
      <c r="G7" s="19">
        <f>'N TRIBUTARIO'!G19</f>
        <v>18</v>
      </c>
      <c r="H7" s="19" t="str">
        <f>'N TRIBUTARIO'!H19</f>
        <v>0206</v>
      </c>
      <c r="I7" s="19">
        <f>'N TRIBUTARIO'!I19</f>
        <v>0</v>
      </c>
      <c r="J7" s="19" t="s">
        <v>725</v>
      </c>
      <c r="K7" s="19" t="str">
        <f>'N TRIBUTARIO'!J19</f>
        <v>MASAHUAT</v>
      </c>
      <c r="L7" s="19" t="str">
        <f>'N TRIBUTARIO'!K19</f>
        <v>NORTE</v>
      </c>
      <c r="M7" s="19" t="str">
        <f>'N TRIBUTARIO'!L19</f>
        <v>SANTA ANA</v>
      </c>
      <c r="N7" s="19">
        <f>'N TRIBUTARIO'!M19</f>
        <v>0</v>
      </c>
      <c r="O7" s="19">
        <f>'N TRIBUTARIO'!N19</f>
        <v>0</v>
      </c>
      <c r="P7" s="19">
        <f>'N TRIBUTARIO'!O19</f>
        <v>0</v>
      </c>
      <c r="Q7" s="19">
        <f>'N TRIBUTARIO'!P19</f>
        <v>1</v>
      </c>
      <c r="R7" s="19">
        <f>'N TRIBUTARIO'!Q19</f>
        <v>0</v>
      </c>
      <c r="S7" s="19">
        <f>'N TRIBUTARIO'!R19</f>
        <v>0</v>
      </c>
      <c r="T7" s="19">
        <f>'N TRIBUTARIO'!S19</f>
        <v>0</v>
      </c>
      <c r="U7" s="19" t="str">
        <f>'N TRIBUTARIO'!T19</f>
        <v>-</v>
      </c>
      <c r="V7" s="19" t="str">
        <f>'N TRIBUTARIO'!U19</f>
        <v xml:space="preserve"> </v>
      </c>
      <c r="W7" s="19" t="str">
        <f>'N TRIBUTARIO'!V19</f>
        <v>MASAHUAT-0206-NORTE</v>
      </c>
      <c r="X7" s="19" t="str">
        <f>'N TRIBUTARIO'!W19</f>
        <v>0206-021079-001-9</v>
      </c>
      <c r="Y7" s="19" t="str">
        <f>'N TRIBUTARIO'!X19</f>
        <v>MASAHUAT NORTE</v>
      </c>
      <c r="Z7" s="19" t="str">
        <f>'N TRIBUTARIO'!Y19</f>
        <v>0206-021079-001-9 MASAHUAT NORTE</v>
      </c>
      <c r="AA7" s="19" t="str">
        <f>'N TRIBUTARIO'!Z19</f>
        <v>0206 MASAHUAT-NORTE</v>
      </c>
      <c r="AB7" s="19">
        <f>'N TRIBUTARIO'!AA19</f>
        <v>956.97</v>
      </c>
      <c r="AC7" s="19">
        <f>'N TRIBUTARIO'!AB19</f>
        <v>91108</v>
      </c>
      <c r="AD7" s="19">
        <f>'N TRIBUTARIO'!AC19</f>
        <v>95.2</v>
      </c>
    </row>
    <row r="8" spans="1:30" ht="19" customHeight="1" x14ac:dyDescent="0.4">
      <c r="A8" s="19">
        <f>'N TRIBUTARIO'!A20</f>
        <v>0</v>
      </c>
      <c r="B8" s="19" t="str">
        <f>'N TRIBUTARIO'!B20</f>
        <v>01</v>
      </c>
      <c r="C8" s="19" t="str">
        <f>'N TRIBUTARIO'!C20</f>
        <v>06</v>
      </c>
      <c r="D8" s="19" t="str">
        <f>'N TRIBUTARIO'!D20</f>
        <v>11</v>
      </c>
      <c r="E8" s="19" t="str">
        <f>'N TRIBUTARIO'!E20</f>
        <v>002</v>
      </c>
      <c r="F8" s="19">
        <f>'N TRIBUTARIO'!F20</f>
        <v>4</v>
      </c>
      <c r="G8" s="19">
        <f>'N TRIBUTARIO'!G20</f>
        <v>19</v>
      </c>
      <c r="H8" s="19" t="str">
        <f>'N TRIBUTARIO'!H20</f>
        <v>0207</v>
      </c>
      <c r="I8" s="19">
        <f>'N TRIBUTARIO'!I20</f>
        <v>0</v>
      </c>
      <c r="J8" s="19" t="s">
        <v>725</v>
      </c>
      <c r="K8" s="19" t="str">
        <f>'N TRIBUTARIO'!J20</f>
        <v>METAPAN</v>
      </c>
      <c r="L8" s="19" t="str">
        <f>'N TRIBUTARIO'!K20</f>
        <v>NORTE</v>
      </c>
      <c r="M8" s="19" t="str">
        <f>'N TRIBUTARIO'!L20</f>
        <v>SANTA ANA</v>
      </c>
      <c r="N8" s="19">
        <f>'N TRIBUTARIO'!M20</f>
        <v>0</v>
      </c>
      <c r="O8" s="19">
        <f>'N TRIBUTARIO'!N20</f>
        <v>0</v>
      </c>
      <c r="P8" s="19">
        <f>'N TRIBUTARIO'!O20</f>
        <v>0</v>
      </c>
      <c r="Q8" s="19">
        <f>'N TRIBUTARIO'!P20</f>
        <v>1</v>
      </c>
      <c r="R8" s="19">
        <f>'N TRIBUTARIO'!Q20</f>
        <v>0</v>
      </c>
      <c r="S8" s="19">
        <f>'N TRIBUTARIO'!R20</f>
        <v>0</v>
      </c>
      <c r="T8" s="19">
        <f>'N TRIBUTARIO'!S20</f>
        <v>0</v>
      </c>
      <c r="U8" s="19" t="str">
        <f>'N TRIBUTARIO'!T20</f>
        <v>-</v>
      </c>
      <c r="V8" s="19" t="str">
        <f>'N TRIBUTARIO'!U20</f>
        <v xml:space="preserve"> </v>
      </c>
      <c r="W8" s="19" t="str">
        <f>'N TRIBUTARIO'!V20</f>
        <v>METAPAN-0207-NORTE</v>
      </c>
      <c r="X8" s="19" t="str">
        <f>'N TRIBUTARIO'!W20</f>
        <v>0207-010611-002-4</v>
      </c>
      <c r="Y8" s="19" t="str">
        <f>'N TRIBUTARIO'!X20</f>
        <v>METAPAN NORTE</v>
      </c>
      <c r="Z8" s="19" t="str">
        <f>'N TRIBUTARIO'!Y20</f>
        <v>0207-010611-002-4 METAPAN NORTE</v>
      </c>
      <c r="AA8" s="19" t="str">
        <f>'N TRIBUTARIO'!Z20</f>
        <v>0207 METAPAN-NORTE</v>
      </c>
      <c r="AB8" s="19">
        <f>'N TRIBUTARIO'!AA20</f>
        <v>0</v>
      </c>
      <c r="AC8" s="19">
        <f>'N TRIBUTARIO'!AB20</f>
        <v>0</v>
      </c>
      <c r="AD8" s="19">
        <f>'N TRIBUTARIO'!AC20</f>
        <v>0</v>
      </c>
    </row>
    <row r="9" spans="1:30" ht="19" customHeight="1" x14ac:dyDescent="0.4">
      <c r="A9" s="19">
        <f>'N TRIBUTARIO'!A21</f>
        <v>0</v>
      </c>
      <c r="B9" s="19" t="str">
        <f>'N TRIBUTARIO'!B21</f>
        <v>02</v>
      </c>
      <c r="C9" s="19" t="str">
        <f>'N TRIBUTARIO'!C21</f>
        <v>10</v>
      </c>
      <c r="D9" s="19" t="str">
        <f>'N TRIBUTARIO'!D21</f>
        <v>79</v>
      </c>
      <c r="E9" s="19" t="str">
        <f>'N TRIBUTARIO'!E21</f>
        <v>001</v>
      </c>
      <c r="F9" s="19">
        <f>'N TRIBUTARIO'!F21</f>
        <v>9</v>
      </c>
      <c r="G9" s="19">
        <f>'N TRIBUTARIO'!G21</f>
        <v>20</v>
      </c>
      <c r="H9" s="19" t="str">
        <f>'N TRIBUTARIO'!H21</f>
        <v>0208</v>
      </c>
      <c r="I9" s="19">
        <f>'N TRIBUTARIO'!I21</f>
        <v>0</v>
      </c>
      <c r="J9" s="19" t="s">
        <v>725</v>
      </c>
      <c r="K9" s="19" t="str">
        <f>'N TRIBUTARIO'!J21</f>
        <v>SAN ANTONIO PAJONAL</v>
      </c>
      <c r="L9" s="19" t="str">
        <f>'N TRIBUTARIO'!K21</f>
        <v>OESTE</v>
      </c>
      <c r="M9" s="19" t="str">
        <f>'N TRIBUTARIO'!L21</f>
        <v>SANTA ANA</v>
      </c>
      <c r="N9" s="19">
        <f>'N TRIBUTARIO'!M21</f>
        <v>0</v>
      </c>
      <c r="O9" s="19">
        <f>'N TRIBUTARIO'!N21</f>
        <v>0</v>
      </c>
      <c r="P9" s="19">
        <f>'N TRIBUTARIO'!O21</f>
        <v>0</v>
      </c>
      <c r="Q9" s="19">
        <f>'N TRIBUTARIO'!P21</f>
        <v>0</v>
      </c>
      <c r="R9" s="19">
        <f>'N TRIBUTARIO'!Q21</f>
        <v>1</v>
      </c>
      <c r="S9" s="19">
        <f>'N TRIBUTARIO'!R21</f>
        <v>0</v>
      </c>
      <c r="T9" s="19">
        <f>'N TRIBUTARIO'!S21</f>
        <v>0</v>
      </c>
      <c r="U9" s="19" t="str">
        <f>'N TRIBUTARIO'!T21</f>
        <v>-</v>
      </c>
      <c r="V9" s="19" t="str">
        <f>'N TRIBUTARIO'!U21</f>
        <v xml:space="preserve"> </v>
      </c>
      <c r="W9" s="19" t="str">
        <f>'N TRIBUTARIO'!V21</f>
        <v>SAN ANTONIO PAJONAL-0208-OESTE</v>
      </c>
      <c r="X9" s="19" t="str">
        <f>'N TRIBUTARIO'!W21</f>
        <v>0208-021079-001-9</v>
      </c>
      <c r="Y9" s="19" t="str">
        <f>'N TRIBUTARIO'!X21</f>
        <v>SAN ANTONIO PAJONAL OESTE</v>
      </c>
      <c r="Z9" s="19" t="str">
        <f>'N TRIBUTARIO'!Y21</f>
        <v>0208-021079-001-9 SAN ANTONIO PAJONAL OESTE</v>
      </c>
      <c r="AA9" s="19" t="str">
        <f>'N TRIBUTARIO'!Z21</f>
        <v>0208 SAN ANTONIO PAJONAL-OESTE</v>
      </c>
      <c r="AB9" s="19">
        <f>'N TRIBUTARIO'!AA21</f>
        <v>0</v>
      </c>
      <c r="AC9" s="19">
        <f>'N TRIBUTARIO'!AB21</f>
        <v>0</v>
      </c>
      <c r="AD9" s="19">
        <f>'N TRIBUTARIO'!AC21</f>
        <v>0</v>
      </c>
    </row>
    <row r="10" spans="1:30" ht="19" customHeight="1" x14ac:dyDescent="0.4">
      <c r="A10" s="19">
        <f>'N TRIBUTARIO'!A22</f>
        <v>0</v>
      </c>
      <c r="B10" s="19" t="str">
        <f>'N TRIBUTARIO'!B22</f>
        <v>02</v>
      </c>
      <c r="C10" s="19" t="str">
        <f>'N TRIBUTARIO'!C22</f>
        <v>10</v>
      </c>
      <c r="D10" s="19" t="str">
        <f>'N TRIBUTARIO'!D22</f>
        <v>79</v>
      </c>
      <c r="E10" s="19" t="str">
        <f>'N TRIBUTARIO'!E22</f>
        <v>001</v>
      </c>
      <c r="F10" s="19">
        <f>'N TRIBUTARIO'!F22</f>
        <v>9</v>
      </c>
      <c r="G10" s="19">
        <f>'N TRIBUTARIO'!G22</f>
        <v>21</v>
      </c>
      <c r="H10" s="19" t="str">
        <f>'N TRIBUTARIO'!H22</f>
        <v>0209</v>
      </c>
      <c r="I10" s="19">
        <f>'N TRIBUTARIO'!I22</f>
        <v>0</v>
      </c>
      <c r="J10" s="19" t="s">
        <v>725</v>
      </c>
      <c r="K10" s="19" t="str">
        <f>'N TRIBUTARIO'!J22</f>
        <v>SAN SEBASTIAN SALITRILLO</v>
      </c>
      <c r="L10" s="19" t="str">
        <f>'N TRIBUTARIO'!K22</f>
        <v>OESTE</v>
      </c>
      <c r="M10" s="19" t="str">
        <f>'N TRIBUTARIO'!L22</f>
        <v>SANTA ANA</v>
      </c>
      <c r="N10" s="19">
        <f>'N TRIBUTARIO'!M22</f>
        <v>0</v>
      </c>
      <c r="O10" s="19">
        <f>'N TRIBUTARIO'!N22</f>
        <v>0</v>
      </c>
      <c r="P10" s="19">
        <f>'N TRIBUTARIO'!O22</f>
        <v>0</v>
      </c>
      <c r="Q10" s="19">
        <f>'N TRIBUTARIO'!P22</f>
        <v>0</v>
      </c>
      <c r="R10" s="19">
        <f>'N TRIBUTARIO'!Q22</f>
        <v>1</v>
      </c>
      <c r="S10" s="19">
        <f>'N TRIBUTARIO'!R22</f>
        <v>0</v>
      </c>
      <c r="T10" s="19">
        <f>'N TRIBUTARIO'!S22</f>
        <v>0</v>
      </c>
      <c r="U10" s="19" t="str">
        <f>'N TRIBUTARIO'!T22</f>
        <v>-</v>
      </c>
      <c r="V10" s="19" t="str">
        <f>'N TRIBUTARIO'!U22</f>
        <v xml:space="preserve"> </v>
      </c>
      <c r="W10" s="19" t="str">
        <f>'N TRIBUTARIO'!V22</f>
        <v>SAN SEBASTIAN SALITRILLO-0209-OESTE</v>
      </c>
      <c r="X10" s="19" t="str">
        <f>'N TRIBUTARIO'!W22</f>
        <v>0209-021079-001-9</v>
      </c>
      <c r="Y10" s="19" t="str">
        <f>'N TRIBUTARIO'!X22</f>
        <v>SAN SEBASTIAN SALITRILLO OESTE</v>
      </c>
      <c r="Z10" s="19" t="str">
        <f>'N TRIBUTARIO'!Y22</f>
        <v>0209-021079-001-9 SAN SEBASTIAN SALITRILLO OESTE</v>
      </c>
      <c r="AA10" s="19" t="str">
        <f>'N TRIBUTARIO'!Z22</f>
        <v>0209 SAN SEBASTIAN SALITRILLO-OESTE</v>
      </c>
      <c r="AB10" s="19">
        <f>'N TRIBUTARIO'!AA22</f>
        <v>0</v>
      </c>
      <c r="AC10" s="19">
        <f>'N TRIBUTARIO'!AB22</f>
        <v>0</v>
      </c>
      <c r="AD10" s="19">
        <f>'N TRIBUTARIO'!AC22</f>
        <v>0</v>
      </c>
    </row>
    <row r="11" spans="1:30" ht="19" customHeight="1" x14ac:dyDescent="0.4">
      <c r="A11" s="19" t="str">
        <f>'N TRIBUTARIO'!A23</f>
        <v>1C</v>
      </c>
      <c r="B11" s="19" t="str">
        <f>'N TRIBUTARIO'!B23</f>
        <v>02</v>
      </c>
      <c r="C11" s="19" t="str">
        <f>'N TRIBUTARIO'!C23</f>
        <v>10</v>
      </c>
      <c r="D11" s="19" t="str">
        <f>'N TRIBUTARIO'!D23</f>
        <v>79</v>
      </c>
      <c r="E11" s="19" t="str">
        <f>'N TRIBUTARIO'!E23</f>
        <v>001</v>
      </c>
      <c r="F11" s="19">
        <f>'N TRIBUTARIO'!F23</f>
        <v>5</v>
      </c>
      <c r="G11" s="19">
        <f>'N TRIBUTARIO'!G23</f>
        <v>22</v>
      </c>
      <c r="H11" s="19" t="str">
        <f>'N TRIBUTARIO'!H23</f>
        <v>0210</v>
      </c>
      <c r="I11" s="19">
        <f>'N TRIBUTARIO'!I23</f>
        <v>2</v>
      </c>
      <c r="J11" s="19" t="s">
        <v>725</v>
      </c>
      <c r="K11" s="19" t="str">
        <f>'N TRIBUTARIO'!J23</f>
        <v>SANTA ANA</v>
      </c>
      <c r="L11" s="19" t="str">
        <f>'N TRIBUTARIO'!K23</f>
        <v>CENTRO</v>
      </c>
      <c r="M11" s="19" t="str">
        <f>'N TRIBUTARIO'!L23</f>
        <v>SANTA ANA</v>
      </c>
      <c r="N11" s="19">
        <f>'N TRIBUTARIO'!M23</f>
        <v>1</v>
      </c>
      <c r="O11" s="19">
        <f>'N TRIBUTARIO'!N23</f>
        <v>0</v>
      </c>
      <c r="P11" s="19">
        <f>'N TRIBUTARIO'!O23</f>
        <v>0</v>
      </c>
      <c r="Q11" s="19">
        <f>'N TRIBUTARIO'!P23</f>
        <v>0</v>
      </c>
      <c r="R11" s="19">
        <f>'N TRIBUTARIO'!Q23</f>
        <v>0</v>
      </c>
      <c r="S11" s="19">
        <f>'N TRIBUTARIO'!R23</f>
        <v>0</v>
      </c>
      <c r="T11" s="19">
        <f>'N TRIBUTARIO'!S23</f>
        <v>0</v>
      </c>
      <c r="U11" s="19" t="str">
        <f>'N TRIBUTARIO'!T23</f>
        <v>-</v>
      </c>
      <c r="V11" s="19" t="str">
        <f>'N TRIBUTARIO'!U23</f>
        <v xml:space="preserve"> </v>
      </c>
      <c r="W11" s="19" t="str">
        <f>'N TRIBUTARIO'!V23</f>
        <v>SANTA ANA-0210-CENTRO</v>
      </c>
      <c r="X11" s="19" t="str">
        <f>'N TRIBUTARIO'!W23</f>
        <v>0210-021079-001-5</v>
      </c>
      <c r="Y11" s="19" t="str">
        <f>'N TRIBUTARIO'!X23</f>
        <v>SANTA ANA CENTRO</v>
      </c>
      <c r="Z11" s="19" t="str">
        <f>'N TRIBUTARIO'!Y23</f>
        <v>0210-021079-001-5 SANTA ANA CENTRO</v>
      </c>
      <c r="AA11" s="19" t="str">
        <f>'N TRIBUTARIO'!Z23</f>
        <v>0210 SANTA ANA-CENTRO</v>
      </c>
      <c r="AB11" s="19">
        <f>'N TRIBUTARIO'!AA23</f>
        <v>400.05</v>
      </c>
      <c r="AC11" s="19">
        <f>'N TRIBUTARIO'!AB23</f>
        <v>264091</v>
      </c>
      <c r="AD11" s="19">
        <f>'N TRIBUTARIO'!AC23</f>
        <v>660.14</v>
      </c>
    </row>
    <row r="12" spans="1:30" ht="19" customHeight="1" x14ac:dyDescent="0.4">
      <c r="A12" s="19">
        <f>'N TRIBUTARIO'!A24</f>
        <v>0</v>
      </c>
      <c r="B12" s="19" t="str">
        <f>'N TRIBUTARIO'!B24</f>
        <v>02</v>
      </c>
      <c r="C12" s="19" t="str">
        <f>'N TRIBUTARIO'!C24</f>
        <v>10</v>
      </c>
      <c r="D12" s="19" t="str">
        <f>'N TRIBUTARIO'!D24</f>
        <v>79</v>
      </c>
      <c r="E12" s="19" t="str">
        <f>'N TRIBUTARIO'!E24</f>
        <v>001</v>
      </c>
      <c r="F12" s="19">
        <f>'N TRIBUTARIO'!F24</f>
        <v>0</v>
      </c>
      <c r="G12" s="19">
        <f>'N TRIBUTARIO'!G24</f>
        <v>23</v>
      </c>
      <c r="H12" s="19" t="str">
        <f>'N TRIBUTARIO'!H24</f>
        <v>0211</v>
      </c>
      <c r="I12" s="19">
        <f>'N TRIBUTARIO'!I24</f>
        <v>0</v>
      </c>
      <c r="J12" s="19" t="s">
        <v>725</v>
      </c>
      <c r="K12" s="19" t="str">
        <f>'N TRIBUTARIO'!J24</f>
        <v>SANTA ROSA GUACHIPILIN</v>
      </c>
      <c r="L12" s="19" t="str">
        <f>'N TRIBUTARIO'!K24</f>
        <v>NORTE</v>
      </c>
      <c r="M12" s="19" t="str">
        <f>'N TRIBUTARIO'!L24</f>
        <v>SANTA ANA</v>
      </c>
      <c r="N12" s="19">
        <f>'N TRIBUTARIO'!M24</f>
        <v>0</v>
      </c>
      <c r="O12" s="19">
        <f>'N TRIBUTARIO'!N24</f>
        <v>0</v>
      </c>
      <c r="P12" s="19">
        <f>'N TRIBUTARIO'!O24</f>
        <v>0</v>
      </c>
      <c r="Q12" s="19">
        <f>'N TRIBUTARIO'!P24</f>
        <v>1</v>
      </c>
      <c r="R12" s="19">
        <f>'N TRIBUTARIO'!Q24</f>
        <v>0</v>
      </c>
      <c r="S12" s="19">
        <f>'N TRIBUTARIO'!R24</f>
        <v>0</v>
      </c>
      <c r="T12" s="19">
        <f>'N TRIBUTARIO'!S24</f>
        <v>0</v>
      </c>
      <c r="U12" s="19" t="str">
        <f>'N TRIBUTARIO'!T24</f>
        <v>-</v>
      </c>
      <c r="V12" s="19" t="str">
        <f>'N TRIBUTARIO'!U24</f>
        <v xml:space="preserve"> </v>
      </c>
      <c r="W12" s="19" t="str">
        <f>'N TRIBUTARIO'!V24</f>
        <v>SANTA ROSA GUACHIPILIN-0211-NORTE</v>
      </c>
      <c r="X12" s="19" t="str">
        <f>'N TRIBUTARIO'!W24</f>
        <v>0211-021079-001-0</v>
      </c>
      <c r="Y12" s="19" t="str">
        <f>'N TRIBUTARIO'!X24</f>
        <v>SANTA ROSA GUACHIPILIN NORTE</v>
      </c>
      <c r="Z12" s="19" t="str">
        <f>'N TRIBUTARIO'!Y24</f>
        <v>0211-021079-001-0 SANTA ROSA GUACHIPILIN NORTE</v>
      </c>
      <c r="AA12" s="19" t="str">
        <f>'N TRIBUTARIO'!Z24</f>
        <v>0211 SANTA ROSA GUACHIPILIN-NORTE</v>
      </c>
      <c r="AB12" s="19">
        <f>'N TRIBUTARIO'!AA24</f>
        <v>0</v>
      </c>
      <c r="AC12" s="19">
        <f>'N TRIBUTARIO'!AB24</f>
        <v>0</v>
      </c>
      <c r="AD12" s="19">
        <f>'N TRIBUTARIO'!AC24</f>
        <v>0</v>
      </c>
    </row>
    <row r="13" spans="1:30" ht="19" customHeight="1" x14ac:dyDescent="0.4">
      <c r="A13" s="19">
        <f>'N TRIBUTARIO'!A25</f>
        <v>0</v>
      </c>
      <c r="B13" s="19" t="str">
        <f>'N TRIBUTARIO'!B25</f>
        <v>02</v>
      </c>
      <c r="C13" s="19" t="str">
        <f>'N TRIBUTARIO'!C25</f>
        <v>10</v>
      </c>
      <c r="D13" s="19" t="str">
        <f>'N TRIBUTARIO'!D25</f>
        <v>79</v>
      </c>
      <c r="E13" s="19" t="str">
        <f>'N TRIBUTARIO'!E25</f>
        <v>001</v>
      </c>
      <c r="F13" s="19">
        <f>'N TRIBUTARIO'!F25</f>
        <v>0</v>
      </c>
      <c r="G13" s="19">
        <f>'N TRIBUTARIO'!G25</f>
        <v>24</v>
      </c>
      <c r="H13" s="19" t="str">
        <f>'N TRIBUTARIO'!H25</f>
        <v>0212</v>
      </c>
      <c r="I13" s="19">
        <f>'N TRIBUTARIO'!I25</f>
        <v>0</v>
      </c>
      <c r="J13" s="19" t="s">
        <v>725</v>
      </c>
      <c r="K13" s="19" t="str">
        <f>'N TRIBUTARIO'!J25</f>
        <v>SANTIAGO DE LA FRONTERA</v>
      </c>
      <c r="L13" s="19" t="str">
        <f>'N TRIBUTARIO'!K25</f>
        <v>OESTE</v>
      </c>
      <c r="M13" s="19" t="str">
        <f>'N TRIBUTARIO'!L25</f>
        <v>SANTA ANA</v>
      </c>
      <c r="N13" s="19">
        <f>'N TRIBUTARIO'!M25</f>
        <v>0</v>
      </c>
      <c r="O13" s="19">
        <f>'N TRIBUTARIO'!N25</f>
        <v>0</v>
      </c>
      <c r="P13" s="19">
        <f>'N TRIBUTARIO'!O25</f>
        <v>0</v>
      </c>
      <c r="Q13" s="19">
        <f>'N TRIBUTARIO'!P25</f>
        <v>0</v>
      </c>
      <c r="R13" s="19">
        <f>'N TRIBUTARIO'!Q25</f>
        <v>1</v>
      </c>
      <c r="S13" s="19">
        <f>'N TRIBUTARIO'!R25</f>
        <v>0</v>
      </c>
      <c r="T13" s="19">
        <f>'N TRIBUTARIO'!S25</f>
        <v>0</v>
      </c>
      <c r="U13" s="19" t="str">
        <f>'N TRIBUTARIO'!T25</f>
        <v>-</v>
      </c>
      <c r="V13" s="19" t="str">
        <f>'N TRIBUTARIO'!U25</f>
        <v xml:space="preserve"> </v>
      </c>
      <c r="W13" s="19" t="str">
        <f>'N TRIBUTARIO'!V25</f>
        <v>SANTIAGO DE LA FRONTERA-0212-OESTE</v>
      </c>
      <c r="X13" s="19" t="str">
        <f>'N TRIBUTARIO'!W25</f>
        <v>0212-021079-001-0</v>
      </c>
      <c r="Y13" s="19" t="str">
        <f>'N TRIBUTARIO'!X25</f>
        <v>SANTIAGO DE LA FRONTERA OESTE</v>
      </c>
      <c r="Z13" s="19" t="str">
        <f>'N TRIBUTARIO'!Y25</f>
        <v>0212-021079-001-0 SANTIAGO DE LA FRONTERA OESTE</v>
      </c>
      <c r="AA13" s="19" t="str">
        <f>'N TRIBUTARIO'!Z25</f>
        <v>0212 SANTIAGO DE LA FRONTERA-OESTE</v>
      </c>
      <c r="AB13" s="19">
        <f>'N TRIBUTARIO'!AA25</f>
        <v>0</v>
      </c>
      <c r="AC13" s="19">
        <f>'N TRIBUTARIO'!AB25</f>
        <v>0</v>
      </c>
      <c r="AD13" s="19">
        <f>'N TRIBUTARIO'!AC25</f>
        <v>0</v>
      </c>
    </row>
    <row r="14" spans="1:30" ht="19" customHeight="1" x14ac:dyDescent="0.4">
      <c r="A14" s="19">
        <f>'N TRIBUTARIO'!A26</f>
        <v>0</v>
      </c>
      <c r="B14" s="19" t="str">
        <f>'N TRIBUTARIO'!B26</f>
        <v>02</v>
      </c>
      <c r="C14" s="19" t="str">
        <f>'N TRIBUTARIO'!C26</f>
        <v>10</v>
      </c>
      <c r="D14" s="19" t="str">
        <f>'N TRIBUTARIO'!D26</f>
        <v>79</v>
      </c>
      <c r="E14" s="19" t="str">
        <f>'N TRIBUTARIO'!E26</f>
        <v>001</v>
      </c>
      <c r="F14" s="19">
        <f>'N TRIBUTARIO'!F26</f>
        <v>0</v>
      </c>
      <c r="G14" s="19">
        <f>'N TRIBUTARIO'!G26</f>
        <v>25</v>
      </c>
      <c r="H14" s="19" t="str">
        <f>'N TRIBUTARIO'!H26</f>
        <v>0213</v>
      </c>
      <c r="I14" s="19">
        <f>'N TRIBUTARIO'!I26</f>
        <v>0</v>
      </c>
      <c r="J14" s="19" t="s">
        <v>725</v>
      </c>
      <c r="K14" s="19" t="str">
        <f>'N TRIBUTARIO'!J26</f>
        <v>TEXISTEPEQUE</v>
      </c>
      <c r="L14" s="19" t="str">
        <f>'N TRIBUTARIO'!K26</f>
        <v>NORTE</v>
      </c>
      <c r="M14" s="19" t="str">
        <f>'N TRIBUTARIO'!L26</f>
        <v>SANTA ANA</v>
      </c>
      <c r="N14" s="19">
        <f>'N TRIBUTARIO'!M26</f>
        <v>0</v>
      </c>
      <c r="O14" s="19">
        <f>'N TRIBUTARIO'!N26</f>
        <v>0</v>
      </c>
      <c r="P14" s="19">
        <f>'N TRIBUTARIO'!O26</f>
        <v>0</v>
      </c>
      <c r="Q14" s="19">
        <f>'N TRIBUTARIO'!P26</f>
        <v>1</v>
      </c>
      <c r="R14" s="19">
        <f>'N TRIBUTARIO'!Q26</f>
        <v>0</v>
      </c>
      <c r="S14" s="19">
        <f>'N TRIBUTARIO'!R26</f>
        <v>0</v>
      </c>
      <c r="T14" s="19">
        <f>'N TRIBUTARIO'!S26</f>
        <v>0</v>
      </c>
      <c r="U14" s="19" t="str">
        <f>'N TRIBUTARIO'!T26</f>
        <v>-</v>
      </c>
      <c r="V14" s="19" t="str">
        <f>'N TRIBUTARIO'!U26</f>
        <v xml:space="preserve"> </v>
      </c>
      <c r="W14" s="19" t="str">
        <f>'N TRIBUTARIO'!V26</f>
        <v>TEXISTEPEQUE-0213-NORTE</v>
      </c>
      <c r="X14" s="19" t="str">
        <f>'N TRIBUTARIO'!W26</f>
        <v>0213-021079-001-0</v>
      </c>
      <c r="Y14" s="19" t="str">
        <f>'N TRIBUTARIO'!X26</f>
        <v>TEXISTEPEQUE NORTE</v>
      </c>
      <c r="Z14" s="19" t="str">
        <f>'N TRIBUTARIO'!Y26</f>
        <v>0213-021079-001-0 TEXISTEPEQUE NORTE</v>
      </c>
      <c r="AA14" s="19" t="str">
        <f>'N TRIBUTARIO'!Z26</f>
        <v>0213 TEXISTEPEQUE-NORTE</v>
      </c>
      <c r="AB14" s="19">
        <f>'N TRIBUTARIO'!AA26</f>
        <v>0</v>
      </c>
      <c r="AC14" s="19">
        <f>'N TRIBUTARIO'!AB26</f>
        <v>0</v>
      </c>
      <c r="AD14" s="19">
        <f>'N TRIBUTARIO'!AC26</f>
        <v>0</v>
      </c>
    </row>
    <row r="15" spans="1:30" ht="19" customHeight="1" x14ac:dyDescent="0.4">
      <c r="N15" s="1">
        <f>SUM(N2:N14)</f>
        <v>1</v>
      </c>
      <c r="O15" s="1">
        <f t="shared" ref="O15:T15" si="0">SUM(O2:O14)</f>
        <v>0</v>
      </c>
      <c r="P15" s="1">
        <f t="shared" si="0"/>
        <v>2</v>
      </c>
      <c r="Q15" s="1">
        <f t="shared" si="0"/>
        <v>4</v>
      </c>
      <c r="R15" s="1">
        <f t="shared" si="0"/>
        <v>6</v>
      </c>
      <c r="S15" s="1">
        <f t="shared" si="0"/>
        <v>0</v>
      </c>
      <c r="T15" s="1">
        <f t="shared" si="0"/>
        <v>0</v>
      </c>
    </row>
    <row r="18" spans="10:11" ht="19" customHeight="1" x14ac:dyDescent="0.4">
      <c r="J18" s="1" t="str">
        <f>N1</f>
        <v>CENTRO</v>
      </c>
      <c r="K18" s="1" t="str">
        <f>CONCATENATE(K11)</f>
        <v>SANTA ANA</v>
      </c>
    </row>
    <row r="19" spans="10:11" ht="19" customHeight="1" x14ac:dyDescent="0.4">
      <c r="J19" s="1" t="str">
        <f>P1</f>
        <v>ESTE</v>
      </c>
      <c r="K19" s="1" t="str">
        <f>CONCATENATE(K3,J3,K5)</f>
        <v>COATEPEQUE, EL CONGO</v>
      </c>
    </row>
    <row r="20" spans="10:11" ht="19" customHeight="1" x14ac:dyDescent="0.4">
      <c r="J20" s="1" t="str">
        <f>Q1</f>
        <v>NORTE</v>
      </c>
      <c r="K20" s="1" t="str">
        <f>CONCATENATE(K7,J7,K8,J8,K12,J12,K14)</f>
        <v>MASAHUAT, METAPAN, SANTA ROSA GUACHIPILIN, TEXISTEPEQUE</v>
      </c>
    </row>
    <row r="21" spans="10:11" ht="19" customHeight="1" x14ac:dyDescent="0.4">
      <c r="J21" s="1" t="str">
        <f>R1</f>
        <v>OESTE</v>
      </c>
      <c r="K21" s="1" t="str">
        <f>CONCATENATE(K2,J2,K4,J4,K6,J6,K9,J9,K10,J10,K13)</f>
        <v>CANDELARIA DE LA FRONTERA, CHALCHUAPA, EL PORVENIR, SAN ANTONIO PAJONAL, SAN SEBASTIAN SALITRILLO, SANTIAGO DE LA FRONTERA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781F4-CD14-40B8-930B-8402CDB8F7CF}">
  <sheetPr codeName="Hoja10"/>
  <dimension ref="A1:AD22"/>
  <sheetViews>
    <sheetView showZeros="0" topLeftCell="F6"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8" t="str">
        <f>'N TRIBUTARIO'!A27</f>
        <v>O1</v>
      </c>
      <c r="B2" s="18" t="str">
        <f>'N TRIBUTARIO'!B27</f>
        <v>01</v>
      </c>
      <c r="C2" s="18" t="str">
        <f>'N TRIBUTARIO'!C27</f>
        <v>06</v>
      </c>
      <c r="D2" s="18" t="str">
        <f>'N TRIBUTARIO'!D27</f>
        <v>11</v>
      </c>
      <c r="E2" s="18" t="str">
        <f>'N TRIBUTARIO'!E27</f>
        <v>001</v>
      </c>
      <c r="F2" s="18">
        <f>'N TRIBUTARIO'!F27</f>
        <v>4</v>
      </c>
      <c r="G2" s="18">
        <f>'N TRIBUTARIO'!G27</f>
        <v>26</v>
      </c>
      <c r="H2" s="18" t="str">
        <f>'N TRIBUTARIO'!H27</f>
        <v>0301</v>
      </c>
      <c r="I2" s="18">
        <f>'N TRIBUTARIO'!I27</f>
        <v>0</v>
      </c>
      <c r="J2" s="18" t="s">
        <v>725</v>
      </c>
      <c r="K2" s="18" t="str">
        <f>'N TRIBUTARIO'!J27</f>
        <v>ACAJUTLA</v>
      </c>
      <c r="L2" s="18" t="str">
        <f>'N TRIBUTARIO'!K27</f>
        <v>OESTE</v>
      </c>
      <c r="M2" s="18" t="str">
        <f>'N TRIBUTARIO'!L27</f>
        <v>SONSONATE</v>
      </c>
      <c r="N2" s="18">
        <f>'N TRIBUTARIO'!M27</f>
        <v>0</v>
      </c>
      <c r="O2" s="18">
        <f>'N TRIBUTARIO'!N27</f>
        <v>0</v>
      </c>
      <c r="P2" s="18">
        <f>'N TRIBUTARIO'!O27</f>
        <v>0</v>
      </c>
      <c r="Q2" s="18">
        <f>'N TRIBUTARIO'!P27</f>
        <v>0</v>
      </c>
      <c r="R2" s="18">
        <f>'N TRIBUTARIO'!Q27</f>
        <v>1</v>
      </c>
      <c r="S2" s="18">
        <f>'N TRIBUTARIO'!R27</f>
        <v>0</v>
      </c>
      <c r="T2" s="18">
        <f>'N TRIBUTARIO'!S27</f>
        <v>0</v>
      </c>
      <c r="U2" s="18" t="str">
        <f>'N TRIBUTARIO'!T27</f>
        <v>-</v>
      </c>
      <c r="V2" s="18" t="str">
        <f>'N TRIBUTARIO'!U27</f>
        <v xml:space="preserve"> </v>
      </c>
      <c r="W2" s="18" t="str">
        <f>'N TRIBUTARIO'!V27</f>
        <v>ACAJUTLA-0301-OESTE</v>
      </c>
      <c r="X2" s="18" t="str">
        <f>'N TRIBUTARIO'!W27</f>
        <v>0301-010611-001-4</v>
      </c>
      <c r="Y2" s="18" t="str">
        <f>'N TRIBUTARIO'!X27</f>
        <v>ACAJUTLA OESTE</v>
      </c>
      <c r="Z2" s="18" t="str">
        <f>'N TRIBUTARIO'!Y27</f>
        <v>0301-010611-001-4 ACAJUTLA OESTE</v>
      </c>
      <c r="AA2" s="18" t="str">
        <f>'N TRIBUTARIO'!Z27</f>
        <v>0301 ACAJUTLA-OESTE</v>
      </c>
      <c r="AB2" s="18">
        <f>'N TRIBUTARIO'!AA27</f>
        <v>166.59</v>
      </c>
      <c r="AC2" s="18">
        <f>'N TRIBUTARIO'!AB27</f>
        <v>53259</v>
      </c>
      <c r="AD2" s="18">
        <f>'N TRIBUTARIO'!AC27</f>
        <v>319.7</v>
      </c>
    </row>
    <row r="3" spans="1:30" ht="19" customHeight="1" x14ac:dyDescent="0.4">
      <c r="A3" s="18" t="str">
        <f>'N TRIBUTARIO'!A28</f>
        <v>E1</v>
      </c>
      <c r="B3" s="18" t="str">
        <f>'N TRIBUTARIO'!B28</f>
        <v>23</v>
      </c>
      <c r="C3" s="18" t="str">
        <f>'N TRIBUTARIO'!C28</f>
        <v>02</v>
      </c>
      <c r="D3" s="18" t="str">
        <f>'N TRIBUTARIO'!D28</f>
        <v>78</v>
      </c>
      <c r="E3" s="18" t="str">
        <f>'N TRIBUTARIO'!E28</f>
        <v>001</v>
      </c>
      <c r="F3" s="18">
        <f>'N TRIBUTARIO'!F28</f>
        <v>8</v>
      </c>
      <c r="G3" s="18">
        <f>'N TRIBUTARIO'!G28</f>
        <v>27</v>
      </c>
      <c r="H3" s="18" t="str">
        <f>'N TRIBUTARIO'!H28</f>
        <v>0302</v>
      </c>
      <c r="I3" s="18">
        <f>'N TRIBUTARIO'!I28</f>
        <v>0</v>
      </c>
      <c r="J3" s="18" t="s">
        <v>725</v>
      </c>
      <c r="K3" s="18" t="str">
        <f>'N TRIBUTARIO'!J28</f>
        <v>ARMENIA</v>
      </c>
      <c r="L3" s="18" t="str">
        <f>'N TRIBUTARIO'!K28</f>
        <v>ESTE</v>
      </c>
      <c r="M3" s="18" t="str">
        <f>'N TRIBUTARIO'!L28</f>
        <v>SONSONATE</v>
      </c>
      <c r="N3" s="18">
        <f>'N TRIBUTARIO'!M28</f>
        <v>0</v>
      </c>
      <c r="O3" s="18">
        <f>'N TRIBUTARIO'!N28</f>
        <v>0</v>
      </c>
      <c r="P3" s="18">
        <f>'N TRIBUTARIO'!O28</f>
        <v>1</v>
      </c>
      <c r="Q3" s="18">
        <f>'N TRIBUTARIO'!P28</f>
        <v>0</v>
      </c>
      <c r="R3" s="18">
        <f>'N TRIBUTARIO'!Q28</f>
        <v>0</v>
      </c>
      <c r="S3" s="18">
        <f>'N TRIBUTARIO'!R28</f>
        <v>0</v>
      </c>
      <c r="T3" s="18">
        <f>'N TRIBUTARIO'!S28</f>
        <v>0</v>
      </c>
      <c r="U3" s="18" t="str">
        <f>'N TRIBUTARIO'!T28</f>
        <v>-</v>
      </c>
      <c r="V3" s="18" t="str">
        <f>'N TRIBUTARIO'!U28</f>
        <v xml:space="preserve"> </v>
      </c>
      <c r="W3" s="18" t="str">
        <f>'N TRIBUTARIO'!V28</f>
        <v>ARMENIA-0302-ESTE</v>
      </c>
      <c r="X3" s="18" t="str">
        <f>'N TRIBUTARIO'!W28</f>
        <v>0302-230278-001-8</v>
      </c>
      <c r="Y3" s="18" t="str">
        <f>'N TRIBUTARIO'!X28</f>
        <v>ARMENIA ESTE</v>
      </c>
      <c r="Z3" s="18" t="str">
        <f>'N TRIBUTARIO'!Y28</f>
        <v>0302-230278-001-8 ARMENIA ESTE</v>
      </c>
      <c r="AA3" s="18" t="str">
        <f>'N TRIBUTARIO'!Z28</f>
        <v>0302 ARMENIA-ESTE</v>
      </c>
      <c r="AB3" s="18">
        <f>'N TRIBUTARIO'!AA28</f>
        <v>542.89</v>
      </c>
      <c r="AC3" s="18">
        <f>'N TRIBUTARIO'!AB28</f>
        <v>160035</v>
      </c>
      <c r="AD3" s="18">
        <f>'N TRIBUTARIO'!AC28</f>
        <v>294.77999999999997</v>
      </c>
    </row>
    <row r="4" spans="1:30" ht="19" customHeight="1" x14ac:dyDescent="0.4">
      <c r="A4" s="18">
        <f>'N TRIBUTARIO'!A29</f>
        <v>0</v>
      </c>
      <c r="B4" s="18" t="str">
        <f>'N TRIBUTARIO'!B29</f>
        <v>03</v>
      </c>
      <c r="C4" s="18" t="str">
        <f>'N TRIBUTARIO'!C29</f>
        <v>10</v>
      </c>
      <c r="D4" s="18" t="str">
        <f>'N TRIBUTARIO'!D29</f>
        <v>79</v>
      </c>
      <c r="E4" s="18" t="str">
        <f>'N TRIBUTARIO'!E29</f>
        <v>001</v>
      </c>
      <c r="F4" s="18">
        <f>'N TRIBUTARIO'!F29</f>
        <v>9</v>
      </c>
      <c r="G4" s="18">
        <f>'N TRIBUTARIO'!G29</f>
        <v>28</v>
      </c>
      <c r="H4" s="18" t="str">
        <f>'N TRIBUTARIO'!H29</f>
        <v>0303</v>
      </c>
      <c r="I4" s="18">
        <f>'N TRIBUTARIO'!I29</f>
        <v>0</v>
      </c>
      <c r="J4" s="18" t="s">
        <v>725</v>
      </c>
      <c r="K4" s="18" t="str">
        <f>'N TRIBUTARIO'!J29</f>
        <v>CALUCO</v>
      </c>
      <c r="L4" s="18" t="str">
        <f>'N TRIBUTARIO'!K29</f>
        <v>ESTE</v>
      </c>
      <c r="M4" s="18" t="str">
        <f>'N TRIBUTARIO'!L29</f>
        <v>SONSONATE</v>
      </c>
      <c r="N4" s="18">
        <f>'N TRIBUTARIO'!M29</f>
        <v>0</v>
      </c>
      <c r="O4" s="18">
        <f>'N TRIBUTARIO'!N29</f>
        <v>0</v>
      </c>
      <c r="P4" s="18">
        <f>'N TRIBUTARIO'!O29</f>
        <v>1</v>
      </c>
      <c r="Q4" s="18">
        <f>'N TRIBUTARIO'!P29</f>
        <v>0</v>
      </c>
      <c r="R4" s="18">
        <f>'N TRIBUTARIO'!Q29</f>
        <v>0</v>
      </c>
      <c r="S4" s="18">
        <f>'N TRIBUTARIO'!R29</f>
        <v>0</v>
      </c>
      <c r="T4" s="18">
        <f>'N TRIBUTARIO'!S29</f>
        <v>0</v>
      </c>
      <c r="U4" s="18" t="str">
        <f>'N TRIBUTARIO'!T29</f>
        <v>-</v>
      </c>
      <c r="V4" s="18" t="str">
        <f>'N TRIBUTARIO'!U29</f>
        <v xml:space="preserve"> </v>
      </c>
      <c r="W4" s="18" t="str">
        <f>'N TRIBUTARIO'!V29</f>
        <v>CALUCO-0303-ESTE</v>
      </c>
      <c r="X4" s="18" t="str">
        <f>'N TRIBUTARIO'!W29</f>
        <v>0303-031079-001-9</v>
      </c>
      <c r="Y4" s="18" t="str">
        <f>'N TRIBUTARIO'!X29</f>
        <v>CALUCO ESTE</v>
      </c>
      <c r="Z4" s="18" t="str">
        <f>'N TRIBUTARIO'!Y29</f>
        <v>0303-031079-001-9 CALUCO ESTE</v>
      </c>
      <c r="AA4" s="18" t="str">
        <f>'N TRIBUTARIO'!Z29</f>
        <v>0303 CALUCO-ESTE</v>
      </c>
      <c r="AB4" s="18">
        <f>'N TRIBUTARIO'!AA29</f>
        <v>0</v>
      </c>
      <c r="AC4" s="18">
        <f>'N TRIBUTARIO'!AB29</f>
        <v>0</v>
      </c>
      <c r="AD4" s="18">
        <f>'N TRIBUTARIO'!AC29</f>
        <v>0</v>
      </c>
    </row>
    <row r="5" spans="1:30" ht="19" customHeight="1" x14ac:dyDescent="0.4">
      <c r="A5" s="18">
        <f>'N TRIBUTARIO'!A30</f>
        <v>0</v>
      </c>
      <c r="B5" s="18" t="str">
        <f>'N TRIBUTARIO'!B30</f>
        <v>03</v>
      </c>
      <c r="C5" s="18" t="str">
        <f>'N TRIBUTARIO'!C30</f>
        <v>10</v>
      </c>
      <c r="D5" s="18" t="str">
        <f>'N TRIBUTARIO'!D30</f>
        <v>79</v>
      </c>
      <c r="E5" s="18" t="str">
        <f>'N TRIBUTARIO'!E30</f>
        <v>001</v>
      </c>
      <c r="F5" s="18">
        <f>'N TRIBUTARIO'!F30</f>
        <v>9</v>
      </c>
      <c r="G5" s="18">
        <f>'N TRIBUTARIO'!G30</f>
        <v>29</v>
      </c>
      <c r="H5" s="18" t="str">
        <f>'N TRIBUTARIO'!H30</f>
        <v>0304</v>
      </c>
      <c r="I5" s="18">
        <f>'N TRIBUTARIO'!I30</f>
        <v>0</v>
      </c>
      <c r="J5" s="18" t="s">
        <v>725</v>
      </c>
      <c r="K5" s="18" t="str">
        <f>'N TRIBUTARIO'!J30</f>
        <v>CUISNAHUAT</v>
      </c>
      <c r="L5" s="18" t="str">
        <f>'N TRIBUTARIO'!K30</f>
        <v>ESTE</v>
      </c>
      <c r="M5" s="18" t="str">
        <f>'N TRIBUTARIO'!L30</f>
        <v>SONSONATE</v>
      </c>
      <c r="N5" s="18">
        <f>'N TRIBUTARIO'!M30</f>
        <v>0</v>
      </c>
      <c r="O5" s="18">
        <f>'N TRIBUTARIO'!N30</f>
        <v>0</v>
      </c>
      <c r="P5" s="18">
        <f>'N TRIBUTARIO'!O30</f>
        <v>1</v>
      </c>
      <c r="Q5" s="18">
        <f>'N TRIBUTARIO'!P30</f>
        <v>0</v>
      </c>
      <c r="R5" s="18">
        <f>'N TRIBUTARIO'!Q30</f>
        <v>0</v>
      </c>
      <c r="S5" s="18">
        <f>'N TRIBUTARIO'!R30</f>
        <v>0</v>
      </c>
      <c r="T5" s="18">
        <f>'N TRIBUTARIO'!S30</f>
        <v>0</v>
      </c>
      <c r="U5" s="18" t="str">
        <f>'N TRIBUTARIO'!T30</f>
        <v>-</v>
      </c>
      <c r="V5" s="18" t="str">
        <f>'N TRIBUTARIO'!U30</f>
        <v xml:space="preserve"> </v>
      </c>
      <c r="W5" s="18" t="str">
        <f>'N TRIBUTARIO'!V30</f>
        <v>CUISNAHUAT-0304-ESTE</v>
      </c>
      <c r="X5" s="18" t="str">
        <f>'N TRIBUTARIO'!W30</f>
        <v>0304-031079-001-9</v>
      </c>
      <c r="Y5" s="18" t="str">
        <f>'N TRIBUTARIO'!X30</f>
        <v>CUISNAHUAT ESTE</v>
      </c>
      <c r="Z5" s="18" t="str">
        <f>'N TRIBUTARIO'!Y30</f>
        <v>0304-031079-001-9 CUISNAHUAT ESTE</v>
      </c>
      <c r="AA5" s="18" t="str">
        <f>'N TRIBUTARIO'!Z30</f>
        <v>0304 CUISNAHUAT-ESTE</v>
      </c>
      <c r="AB5" s="18">
        <f>'N TRIBUTARIO'!AA30</f>
        <v>0</v>
      </c>
      <c r="AC5" s="18">
        <f>'N TRIBUTARIO'!AB30</f>
        <v>0</v>
      </c>
      <c r="AD5" s="18">
        <f>'N TRIBUTARIO'!AC30</f>
        <v>0</v>
      </c>
    </row>
    <row r="6" spans="1:30" ht="19" customHeight="1" x14ac:dyDescent="0.4">
      <c r="A6" s="18">
        <f>'N TRIBUTARIO'!A31</f>
        <v>0</v>
      </c>
      <c r="B6" s="18" t="str">
        <f>'N TRIBUTARIO'!B31</f>
        <v>03</v>
      </c>
      <c r="C6" s="18" t="str">
        <f>'N TRIBUTARIO'!C31</f>
        <v>10</v>
      </c>
      <c r="D6" s="18" t="str">
        <f>'N TRIBUTARIO'!D31</f>
        <v>79</v>
      </c>
      <c r="E6" s="18" t="str">
        <f>'N TRIBUTARIO'!E31</f>
        <v>001</v>
      </c>
      <c r="F6" s="18">
        <f>'N TRIBUTARIO'!F31</f>
        <v>9</v>
      </c>
      <c r="G6" s="18">
        <f>'N TRIBUTARIO'!G31</f>
        <v>30</v>
      </c>
      <c r="H6" s="18" t="str">
        <f>'N TRIBUTARIO'!H31</f>
        <v>0305</v>
      </c>
      <c r="I6" s="18">
        <f>'N TRIBUTARIO'!I31</f>
        <v>0</v>
      </c>
      <c r="J6" s="18" t="s">
        <v>725</v>
      </c>
      <c r="K6" s="18" t="str">
        <f>'N TRIBUTARIO'!J31</f>
        <v>SANTA ISABEL ISHUATAN</v>
      </c>
      <c r="L6" s="18" t="str">
        <f>'N TRIBUTARIO'!K31</f>
        <v>ESTE</v>
      </c>
      <c r="M6" s="18" t="str">
        <f>'N TRIBUTARIO'!L31</f>
        <v>SONSONATE</v>
      </c>
      <c r="N6" s="18">
        <f>'N TRIBUTARIO'!M31</f>
        <v>0</v>
      </c>
      <c r="O6" s="18">
        <f>'N TRIBUTARIO'!N31</f>
        <v>0</v>
      </c>
      <c r="P6" s="18">
        <f>'N TRIBUTARIO'!O31</f>
        <v>1</v>
      </c>
      <c r="Q6" s="18">
        <f>'N TRIBUTARIO'!P31</f>
        <v>0</v>
      </c>
      <c r="R6" s="18">
        <f>'N TRIBUTARIO'!Q31</f>
        <v>0</v>
      </c>
      <c r="S6" s="18">
        <f>'N TRIBUTARIO'!R31</f>
        <v>0</v>
      </c>
      <c r="T6" s="18">
        <f>'N TRIBUTARIO'!S31</f>
        <v>0</v>
      </c>
      <c r="U6" s="18" t="str">
        <f>'N TRIBUTARIO'!T31</f>
        <v>-</v>
      </c>
      <c r="V6" s="18" t="str">
        <f>'N TRIBUTARIO'!U31</f>
        <v xml:space="preserve"> </v>
      </c>
      <c r="W6" s="18" t="str">
        <f>'N TRIBUTARIO'!V31</f>
        <v>SANTA ISABEL ISHUATAN-0305-ESTE</v>
      </c>
      <c r="X6" s="18" t="str">
        <f>'N TRIBUTARIO'!W31</f>
        <v>0305-031079-001-9</v>
      </c>
      <c r="Y6" s="18" t="str">
        <f>'N TRIBUTARIO'!X31</f>
        <v>SANTA ISABEL ISHUATAN ESTE</v>
      </c>
      <c r="Z6" s="18" t="str">
        <f>'N TRIBUTARIO'!Y31</f>
        <v>0305-031079-001-9 SANTA ISABEL ISHUATAN ESTE</v>
      </c>
      <c r="AA6" s="18" t="str">
        <f>'N TRIBUTARIO'!Z31</f>
        <v>0305 SANTA ISABEL ISHUATAN-ESTE</v>
      </c>
      <c r="AB6" s="18">
        <f>'N TRIBUTARIO'!AA31</f>
        <v>0</v>
      </c>
      <c r="AC6" s="18">
        <f>'N TRIBUTARIO'!AB31</f>
        <v>0</v>
      </c>
      <c r="AD6" s="18">
        <f>'N TRIBUTARIO'!AC31</f>
        <v>0</v>
      </c>
    </row>
    <row r="7" spans="1:30" ht="19" customHeight="1" x14ac:dyDescent="0.4">
      <c r="A7" s="18">
        <f>'N TRIBUTARIO'!A32</f>
        <v>0</v>
      </c>
      <c r="B7" s="18" t="str">
        <f>'N TRIBUTARIO'!B32</f>
        <v>01</v>
      </c>
      <c r="C7" s="18" t="str">
        <f>'N TRIBUTARIO'!C32</f>
        <v>06</v>
      </c>
      <c r="D7" s="18" t="str">
        <f>'N TRIBUTARIO'!D32</f>
        <v>11</v>
      </c>
      <c r="E7" s="18" t="str">
        <f>'N TRIBUTARIO'!E32</f>
        <v>001</v>
      </c>
      <c r="F7" s="18">
        <f>'N TRIBUTARIO'!F32</f>
        <v>4</v>
      </c>
      <c r="G7" s="18">
        <f>'N TRIBUTARIO'!G32</f>
        <v>31</v>
      </c>
      <c r="H7" s="18" t="str">
        <f>'N TRIBUTARIO'!H32</f>
        <v>0306</v>
      </c>
      <c r="I7" s="18">
        <f>'N TRIBUTARIO'!I32</f>
        <v>0</v>
      </c>
      <c r="J7" s="18" t="s">
        <v>725</v>
      </c>
      <c r="K7" s="18" t="str">
        <f>'N TRIBUTARIO'!J32</f>
        <v>IZALCO</v>
      </c>
      <c r="L7" s="18" t="str">
        <f>'N TRIBUTARIO'!K32</f>
        <v>ESTE</v>
      </c>
      <c r="M7" s="18" t="str">
        <f>'N TRIBUTARIO'!L32</f>
        <v>SONSONATE</v>
      </c>
      <c r="N7" s="18">
        <f>'N TRIBUTARIO'!M32</f>
        <v>0</v>
      </c>
      <c r="O7" s="18">
        <f>'N TRIBUTARIO'!N32</f>
        <v>0</v>
      </c>
      <c r="P7" s="18">
        <f>'N TRIBUTARIO'!O32</f>
        <v>1</v>
      </c>
      <c r="Q7" s="18">
        <f>'N TRIBUTARIO'!P32</f>
        <v>0</v>
      </c>
      <c r="R7" s="18">
        <f>'N TRIBUTARIO'!Q32</f>
        <v>0</v>
      </c>
      <c r="S7" s="18">
        <f>'N TRIBUTARIO'!R32</f>
        <v>0</v>
      </c>
      <c r="T7" s="18">
        <f>'N TRIBUTARIO'!S32</f>
        <v>0</v>
      </c>
      <c r="U7" s="18" t="str">
        <f>'N TRIBUTARIO'!T32</f>
        <v>-</v>
      </c>
      <c r="V7" s="18" t="str">
        <f>'N TRIBUTARIO'!U32</f>
        <v xml:space="preserve"> </v>
      </c>
      <c r="W7" s="18" t="str">
        <f>'N TRIBUTARIO'!V32</f>
        <v>IZALCO-0306-ESTE</v>
      </c>
      <c r="X7" s="18" t="str">
        <f>'N TRIBUTARIO'!W32</f>
        <v>0306-010611-001-4</v>
      </c>
      <c r="Y7" s="18" t="str">
        <f>'N TRIBUTARIO'!X32</f>
        <v>IZALCO ESTE</v>
      </c>
      <c r="Z7" s="18" t="str">
        <f>'N TRIBUTARIO'!Y32</f>
        <v>0306-010611-001-4 IZALCO ESTE</v>
      </c>
      <c r="AA7" s="18" t="str">
        <f>'N TRIBUTARIO'!Z32</f>
        <v>0306 IZALCO-ESTE</v>
      </c>
      <c r="AB7" s="18">
        <f>'N TRIBUTARIO'!AA32</f>
        <v>0</v>
      </c>
      <c r="AC7" s="18">
        <f>'N TRIBUTARIO'!AB32</f>
        <v>0</v>
      </c>
      <c r="AD7" s="18">
        <f>'N TRIBUTARIO'!AC32</f>
        <v>0</v>
      </c>
    </row>
    <row r="8" spans="1:30" ht="19" customHeight="1" x14ac:dyDescent="0.4">
      <c r="A8" s="18" t="str">
        <f>'N TRIBUTARIO'!A33</f>
        <v>N1</v>
      </c>
      <c r="B8" s="18" t="str">
        <f>'N TRIBUTARIO'!B33</f>
        <v>01</v>
      </c>
      <c r="C8" s="18" t="str">
        <f>'N TRIBUTARIO'!C33</f>
        <v>06</v>
      </c>
      <c r="D8" s="18" t="str">
        <f>'N TRIBUTARIO'!D33</f>
        <v>11</v>
      </c>
      <c r="E8" s="18" t="str">
        <f>'N TRIBUTARIO'!E33</f>
        <v>001</v>
      </c>
      <c r="F8" s="18">
        <f>'N TRIBUTARIO'!F33</f>
        <v>4</v>
      </c>
      <c r="G8" s="18">
        <f>'N TRIBUTARIO'!G33</f>
        <v>32</v>
      </c>
      <c r="H8" s="18" t="str">
        <f>'N TRIBUTARIO'!H33</f>
        <v>0307</v>
      </c>
      <c r="I8" s="18">
        <f>'N TRIBUTARIO'!I33</f>
        <v>0</v>
      </c>
      <c r="J8" s="18" t="s">
        <v>725</v>
      </c>
      <c r="K8" s="18" t="str">
        <f>'N TRIBUTARIO'!J33</f>
        <v>JUAYUA</v>
      </c>
      <c r="L8" s="18" t="str">
        <f>'N TRIBUTARIO'!K33</f>
        <v>NORTE</v>
      </c>
      <c r="M8" s="18" t="str">
        <f>'N TRIBUTARIO'!L33</f>
        <v>SONSONATE</v>
      </c>
      <c r="N8" s="18">
        <f>'N TRIBUTARIO'!M33</f>
        <v>0</v>
      </c>
      <c r="O8" s="18">
        <f>'N TRIBUTARIO'!N33</f>
        <v>0</v>
      </c>
      <c r="P8" s="18">
        <f>'N TRIBUTARIO'!O33</f>
        <v>0</v>
      </c>
      <c r="Q8" s="18">
        <f>'N TRIBUTARIO'!P33</f>
        <v>1</v>
      </c>
      <c r="R8" s="18">
        <f>'N TRIBUTARIO'!Q33</f>
        <v>0</v>
      </c>
      <c r="S8" s="18">
        <f>'N TRIBUTARIO'!R33</f>
        <v>0</v>
      </c>
      <c r="T8" s="18">
        <f>'N TRIBUTARIO'!S33</f>
        <v>0</v>
      </c>
      <c r="U8" s="18" t="str">
        <f>'N TRIBUTARIO'!T33</f>
        <v>-</v>
      </c>
      <c r="V8" s="18" t="str">
        <f>'N TRIBUTARIO'!U33</f>
        <v xml:space="preserve"> </v>
      </c>
      <c r="W8" s="18" t="str">
        <f>'N TRIBUTARIO'!V33</f>
        <v>JUAYUA-0307-NORTE</v>
      </c>
      <c r="X8" s="18" t="str">
        <f>'N TRIBUTARIO'!W33</f>
        <v>0307-010611-001-4</v>
      </c>
      <c r="Y8" s="18" t="str">
        <f>'N TRIBUTARIO'!X33</f>
        <v>JUAYUA NORTE</v>
      </c>
      <c r="Z8" s="18" t="str">
        <f>'N TRIBUTARIO'!Y33</f>
        <v>0307-010611-001-4 JUAYUA NORTE</v>
      </c>
      <c r="AA8" s="18" t="str">
        <f>'N TRIBUTARIO'!Z33</f>
        <v>0307 JUAYUA-NORTE</v>
      </c>
      <c r="AB8" s="18">
        <f>'N TRIBUTARIO'!AA33</f>
        <v>186.91</v>
      </c>
      <c r="AC8" s="18">
        <f>'N TRIBUTARIO'!AB33</f>
        <v>89106</v>
      </c>
      <c r="AD8" s="18">
        <f>'N TRIBUTARIO'!AC33</f>
        <v>476.73</v>
      </c>
    </row>
    <row r="9" spans="1:30" ht="19" customHeight="1" x14ac:dyDescent="0.4">
      <c r="A9" s="18">
        <f>'N TRIBUTARIO'!A34</f>
        <v>0</v>
      </c>
      <c r="B9" s="18" t="str">
        <f>'N TRIBUTARIO'!B34</f>
        <v>01</v>
      </c>
      <c r="C9" s="18" t="str">
        <f>'N TRIBUTARIO'!C34</f>
        <v>06</v>
      </c>
      <c r="D9" s="18" t="str">
        <f>'N TRIBUTARIO'!D34</f>
        <v>11</v>
      </c>
      <c r="E9" s="18" t="str">
        <f>'N TRIBUTARIO'!E34</f>
        <v>001</v>
      </c>
      <c r="F9" s="18">
        <f>'N TRIBUTARIO'!F34</f>
        <v>4</v>
      </c>
      <c r="G9" s="18">
        <f>'N TRIBUTARIO'!G34</f>
        <v>33</v>
      </c>
      <c r="H9" s="18" t="str">
        <f>'N TRIBUTARIO'!H34</f>
        <v>0308</v>
      </c>
      <c r="I9" s="18">
        <f>'N TRIBUTARIO'!I34</f>
        <v>0</v>
      </c>
      <c r="J9" s="18" t="s">
        <v>725</v>
      </c>
      <c r="K9" s="18" t="str">
        <f>'N TRIBUTARIO'!J34</f>
        <v>NAHUIZALCO</v>
      </c>
      <c r="L9" s="18" t="str">
        <f>'N TRIBUTARIO'!K34</f>
        <v>NORTE</v>
      </c>
      <c r="M9" s="18" t="str">
        <f>'N TRIBUTARIO'!L34</f>
        <v>SONSONATE</v>
      </c>
      <c r="N9" s="18">
        <f>'N TRIBUTARIO'!M34</f>
        <v>0</v>
      </c>
      <c r="O9" s="18">
        <f>'N TRIBUTARIO'!N34</f>
        <v>0</v>
      </c>
      <c r="P9" s="18">
        <f>'N TRIBUTARIO'!O34</f>
        <v>0</v>
      </c>
      <c r="Q9" s="18">
        <f>'N TRIBUTARIO'!P34</f>
        <v>1</v>
      </c>
      <c r="R9" s="18">
        <f>'N TRIBUTARIO'!Q34</f>
        <v>0</v>
      </c>
      <c r="S9" s="18">
        <f>'N TRIBUTARIO'!R34</f>
        <v>0</v>
      </c>
      <c r="T9" s="18">
        <f>'N TRIBUTARIO'!S34</f>
        <v>0</v>
      </c>
      <c r="U9" s="18" t="str">
        <f>'N TRIBUTARIO'!T34</f>
        <v>-</v>
      </c>
      <c r="V9" s="18" t="str">
        <f>'N TRIBUTARIO'!U34</f>
        <v xml:space="preserve"> </v>
      </c>
      <c r="W9" s="18" t="str">
        <f>'N TRIBUTARIO'!V34</f>
        <v>NAHUIZALCO-0308-NORTE</v>
      </c>
      <c r="X9" s="18" t="str">
        <f>'N TRIBUTARIO'!W34</f>
        <v>0308-010611-001-4</v>
      </c>
      <c r="Y9" s="18" t="str">
        <f>'N TRIBUTARIO'!X34</f>
        <v>NAHUIZALCO NORTE</v>
      </c>
      <c r="Z9" s="18" t="str">
        <f>'N TRIBUTARIO'!Y34</f>
        <v>0308-010611-001-4 NAHUIZALCO NORTE</v>
      </c>
      <c r="AA9" s="18" t="str">
        <f>'N TRIBUTARIO'!Z34</f>
        <v>0308 NAHUIZALCO-NORTE</v>
      </c>
      <c r="AB9" s="18">
        <f>'N TRIBUTARIO'!AA34</f>
        <v>0</v>
      </c>
      <c r="AC9" s="18">
        <f>'N TRIBUTARIO'!AB34</f>
        <v>0</v>
      </c>
      <c r="AD9" s="18">
        <f>'N TRIBUTARIO'!AC34</f>
        <v>0</v>
      </c>
    </row>
    <row r="10" spans="1:30" ht="19" customHeight="1" x14ac:dyDescent="0.4">
      <c r="A10" s="18">
        <f>'N TRIBUTARIO'!A35</f>
        <v>0</v>
      </c>
      <c r="B10" s="18" t="str">
        <f>'N TRIBUTARIO'!B35</f>
        <v>03</v>
      </c>
      <c r="C10" s="18" t="str">
        <f>'N TRIBUTARIO'!C35</f>
        <v>10</v>
      </c>
      <c r="D10" s="18" t="str">
        <f>'N TRIBUTARIO'!D35</f>
        <v>79</v>
      </c>
      <c r="E10" s="18" t="str">
        <f>'N TRIBUTARIO'!E35</f>
        <v>001</v>
      </c>
      <c r="F10" s="18">
        <f>'N TRIBUTARIO'!F35</f>
        <v>9</v>
      </c>
      <c r="G10" s="18">
        <f>'N TRIBUTARIO'!G35</f>
        <v>34</v>
      </c>
      <c r="H10" s="18" t="str">
        <f>'N TRIBUTARIO'!H35</f>
        <v>0309</v>
      </c>
      <c r="I10" s="18">
        <f>'N TRIBUTARIO'!I35</f>
        <v>0</v>
      </c>
      <c r="J10" s="18" t="s">
        <v>725</v>
      </c>
      <c r="K10" s="18" t="str">
        <f>'N TRIBUTARIO'!J35</f>
        <v>NAHULINGO</v>
      </c>
      <c r="L10" s="18" t="str">
        <f>'N TRIBUTARIO'!K35</f>
        <v>CENTRO</v>
      </c>
      <c r="M10" s="18" t="str">
        <f>'N TRIBUTARIO'!L35</f>
        <v>SONSONATE</v>
      </c>
      <c r="N10" s="18">
        <f>'N TRIBUTARIO'!M35</f>
        <v>1</v>
      </c>
      <c r="O10" s="18">
        <f>'N TRIBUTARIO'!N35</f>
        <v>0</v>
      </c>
      <c r="P10" s="18">
        <f>'N TRIBUTARIO'!O35</f>
        <v>0</v>
      </c>
      <c r="Q10" s="18">
        <f>'N TRIBUTARIO'!P35</f>
        <v>0</v>
      </c>
      <c r="R10" s="18">
        <f>'N TRIBUTARIO'!Q35</f>
        <v>0</v>
      </c>
      <c r="S10" s="18">
        <f>'N TRIBUTARIO'!R35</f>
        <v>0</v>
      </c>
      <c r="T10" s="18">
        <f>'N TRIBUTARIO'!S35</f>
        <v>0</v>
      </c>
      <c r="U10" s="18" t="str">
        <f>'N TRIBUTARIO'!T35</f>
        <v>-</v>
      </c>
      <c r="V10" s="18" t="str">
        <f>'N TRIBUTARIO'!U35</f>
        <v xml:space="preserve"> </v>
      </c>
      <c r="W10" s="18" t="str">
        <f>'N TRIBUTARIO'!V35</f>
        <v>NAHULINGO-0309-CENTRO</v>
      </c>
      <c r="X10" s="18" t="str">
        <f>'N TRIBUTARIO'!W35</f>
        <v>0309-031079-001-9</v>
      </c>
      <c r="Y10" s="18" t="str">
        <f>'N TRIBUTARIO'!X35</f>
        <v>NAHULINGO CENTRO</v>
      </c>
      <c r="Z10" s="18" t="str">
        <f>'N TRIBUTARIO'!Y35</f>
        <v>0309-031079-001-9 NAHULINGO CENTRO</v>
      </c>
      <c r="AA10" s="18" t="str">
        <f>'N TRIBUTARIO'!Z35</f>
        <v>0309 NAHULINGO-CENTRO</v>
      </c>
      <c r="AB10" s="18">
        <f>'N TRIBUTARIO'!AA35</f>
        <v>0</v>
      </c>
      <c r="AC10" s="18">
        <f>'N TRIBUTARIO'!AB35</f>
        <v>0</v>
      </c>
      <c r="AD10" s="18">
        <f>'N TRIBUTARIO'!AC35</f>
        <v>0</v>
      </c>
    </row>
    <row r="11" spans="1:30" ht="19" customHeight="1" x14ac:dyDescent="0.4">
      <c r="A11" s="18">
        <f>'N TRIBUTARIO'!A36</f>
        <v>0</v>
      </c>
      <c r="B11" s="18" t="str">
        <f>'N TRIBUTARIO'!B36</f>
        <v>03</v>
      </c>
      <c r="C11" s="18" t="str">
        <f>'N TRIBUTARIO'!C36</f>
        <v>10</v>
      </c>
      <c r="D11" s="18" t="str">
        <f>'N TRIBUTARIO'!D36</f>
        <v>79</v>
      </c>
      <c r="E11" s="18" t="str">
        <f>'N TRIBUTARIO'!E36</f>
        <v>001</v>
      </c>
      <c r="F11" s="18">
        <f>'N TRIBUTARIO'!F36</f>
        <v>0</v>
      </c>
      <c r="G11" s="18">
        <f>'N TRIBUTARIO'!G36</f>
        <v>35</v>
      </c>
      <c r="H11" s="18" t="str">
        <f>'N TRIBUTARIO'!H36</f>
        <v>0310</v>
      </c>
      <c r="I11" s="18">
        <f>'N TRIBUTARIO'!I36</f>
        <v>0</v>
      </c>
      <c r="J11" s="18" t="s">
        <v>725</v>
      </c>
      <c r="K11" s="18" t="str">
        <f>'N TRIBUTARIO'!J36</f>
        <v>SALCOATITAN</v>
      </c>
      <c r="L11" s="18" t="str">
        <f>'N TRIBUTARIO'!K36</f>
        <v>NORTE</v>
      </c>
      <c r="M11" s="18" t="str">
        <f>'N TRIBUTARIO'!L36</f>
        <v>SONSONATE</v>
      </c>
      <c r="N11" s="18">
        <f>'N TRIBUTARIO'!M36</f>
        <v>0</v>
      </c>
      <c r="O11" s="18">
        <f>'N TRIBUTARIO'!N36</f>
        <v>0</v>
      </c>
      <c r="P11" s="18">
        <f>'N TRIBUTARIO'!O36</f>
        <v>0</v>
      </c>
      <c r="Q11" s="18">
        <f>'N TRIBUTARIO'!P36</f>
        <v>1</v>
      </c>
      <c r="R11" s="18">
        <f>'N TRIBUTARIO'!Q36</f>
        <v>0</v>
      </c>
      <c r="S11" s="18">
        <f>'N TRIBUTARIO'!R36</f>
        <v>0</v>
      </c>
      <c r="T11" s="18">
        <f>'N TRIBUTARIO'!S36</f>
        <v>0</v>
      </c>
      <c r="U11" s="18" t="str">
        <f>'N TRIBUTARIO'!T36</f>
        <v>-</v>
      </c>
      <c r="V11" s="18" t="str">
        <f>'N TRIBUTARIO'!U36</f>
        <v xml:space="preserve"> </v>
      </c>
      <c r="W11" s="18" t="str">
        <f>'N TRIBUTARIO'!V36</f>
        <v>SALCOATITAN-0310-NORTE</v>
      </c>
      <c r="X11" s="18" t="str">
        <f>'N TRIBUTARIO'!W36</f>
        <v>0310-031079-001-0</v>
      </c>
      <c r="Y11" s="18" t="str">
        <f>'N TRIBUTARIO'!X36</f>
        <v>SALCOATITAN NORTE</v>
      </c>
      <c r="Z11" s="18" t="str">
        <f>'N TRIBUTARIO'!Y36</f>
        <v>0310-031079-001-0 SALCOATITAN NORTE</v>
      </c>
      <c r="AA11" s="18" t="str">
        <f>'N TRIBUTARIO'!Z36</f>
        <v>0310 SALCOATITAN-NORTE</v>
      </c>
      <c r="AB11" s="18">
        <f>'N TRIBUTARIO'!AA36</f>
        <v>0</v>
      </c>
      <c r="AC11" s="18">
        <f>'N TRIBUTARIO'!AB36</f>
        <v>0</v>
      </c>
      <c r="AD11" s="18">
        <f>'N TRIBUTARIO'!AC36</f>
        <v>0</v>
      </c>
    </row>
    <row r="12" spans="1:30" ht="19" customHeight="1" x14ac:dyDescent="0.4">
      <c r="A12" s="18">
        <f>'N TRIBUTARIO'!A37</f>
        <v>0</v>
      </c>
      <c r="B12" s="18" t="str">
        <f>'N TRIBUTARIO'!B37</f>
        <v>03</v>
      </c>
      <c r="C12" s="18" t="str">
        <f>'N TRIBUTARIO'!C37</f>
        <v>10</v>
      </c>
      <c r="D12" s="18" t="str">
        <f>'N TRIBUTARIO'!D37</f>
        <v>79</v>
      </c>
      <c r="E12" s="18" t="str">
        <f>'N TRIBUTARIO'!E37</f>
        <v>001</v>
      </c>
      <c r="F12" s="18">
        <f>'N TRIBUTARIO'!F37</f>
        <v>0</v>
      </c>
      <c r="G12" s="18">
        <f>'N TRIBUTARIO'!G37</f>
        <v>36</v>
      </c>
      <c r="H12" s="18" t="str">
        <f>'N TRIBUTARIO'!H37</f>
        <v>0311</v>
      </c>
      <c r="I12" s="18">
        <f>'N TRIBUTARIO'!I37</f>
        <v>0</v>
      </c>
      <c r="J12" s="18" t="s">
        <v>725</v>
      </c>
      <c r="K12" s="18" t="str">
        <f>'N TRIBUTARIO'!J37</f>
        <v>SAN ANTONIO DEL MONTE</v>
      </c>
      <c r="L12" s="18" t="str">
        <f>'N TRIBUTARIO'!K37</f>
        <v>CENTRO</v>
      </c>
      <c r="M12" s="18" t="str">
        <f>'N TRIBUTARIO'!L37</f>
        <v>SONSONATE</v>
      </c>
      <c r="N12" s="18">
        <f>'N TRIBUTARIO'!M37</f>
        <v>1</v>
      </c>
      <c r="O12" s="18">
        <f>'N TRIBUTARIO'!N37</f>
        <v>0</v>
      </c>
      <c r="P12" s="18">
        <f>'N TRIBUTARIO'!O37</f>
        <v>0</v>
      </c>
      <c r="Q12" s="18">
        <f>'N TRIBUTARIO'!P37</f>
        <v>0</v>
      </c>
      <c r="R12" s="18">
        <f>'N TRIBUTARIO'!Q37</f>
        <v>0</v>
      </c>
      <c r="S12" s="18">
        <f>'N TRIBUTARIO'!R37</f>
        <v>0</v>
      </c>
      <c r="T12" s="18">
        <f>'N TRIBUTARIO'!S37</f>
        <v>0</v>
      </c>
      <c r="U12" s="18" t="str">
        <f>'N TRIBUTARIO'!T37</f>
        <v>-</v>
      </c>
      <c r="V12" s="18" t="str">
        <f>'N TRIBUTARIO'!U37</f>
        <v xml:space="preserve"> </v>
      </c>
      <c r="W12" s="18" t="str">
        <f>'N TRIBUTARIO'!V37</f>
        <v>SAN ANTONIO DEL MONTE-0311-CENTRO</v>
      </c>
      <c r="X12" s="18" t="str">
        <f>'N TRIBUTARIO'!W37</f>
        <v>0311-031079-001-0</v>
      </c>
      <c r="Y12" s="18" t="str">
        <f>'N TRIBUTARIO'!X37</f>
        <v>SAN ANTONIO DEL MONTE CENTRO</v>
      </c>
      <c r="Z12" s="18" t="str">
        <f>'N TRIBUTARIO'!Y37</f>
        <v>0311-031079-001-0 SAN ANTONIO DEL MONTE CENTRO</v>
      </c>
      <c r="AA12" s="18" t="str">
        <f>'N TRIBUTARIO'!Z37</f>
        <v>0311 SAN ANTONIO DEL MONTE-CENTRO</v>
      </c>
      <c r="AB12" s="18">
        <f>'N TRIBUTARIO'!AA37</f>
        <v>0</v>
      </c>
      <c r="AC12" s="18">
        <f>'N TRIBUTARIO'!AB37</f>
        <v>0</v>
      </c>
      <c r="AD12" s="18">
        <f>'N TRIBUTARIO'!AC37</f>
        <v>0</v>
      </c>
    </row>
    <row r="13" spans="1:30" ht="19" customHeight="1" x14ac:dyDescent="0.4">
      <c r="A13" s="18">
        <f>'N TRIBUTARIO'!A38</f>
        <v>0</v>
      </c>
      <c r="B13" s="18" t="str">
        <f>'N TRIBUTARIO'!B38</f>
        <v>03</v>
      </c>
      <c r="C13" s="18" t="str">
        <f>'N TRIBUTARIO'!C38</f>
        <v>10</v>
      </c>
      <c r="D13" s="18" t="str">
        <f>'N TRIBUTARIO'!D38</f>
        <v>79</v>
      </c>
      <c r="E13" s="18" t="str">
        <f>'N TRIBUTARIO'!E38</f>
        <v>001</v>
      </c>
      <c r="F13" s="18">
        <f>'N TRIBUTARIO'!F38</f>
        <v>0</v>
      </c>
      <c r="G13" s="18">
        <f>'N TRIBUTARIO'!G38</f>
        <v>37</v>
      </c>
      <c r="H13" s="18" t="str">
        <f>'N TRIBUTARIO'!H38</f>
        <v>0312</v>
      </c>
      <c r="I13" s="18">
        <f>'N TRIBUTARIO'!I38</f>
        <v>0</v>
      </c>
      <c r="J13" s="18" t="s">
        <v>725</v>
      </c>
      <c r="K13" s="18" t="str">
        <f>'N TRIBUTARIO'!J38</f>
        <v>SAN JULIAN</v>
      </c>
      <c r="L13" s="18" t="str">
        <f>'N TRIBUTARIO'!K38</f>
        <v>ESTE</v>
      </c>
      <c r="M13" s="18" t="str">
        <f>'N TRIBUTARIO'!L38</f>
        <v>SONSONATE</v>
      </c>
      <c r="N13" s="18">
        <f>'N TRIBUTARIO'!M38</f>
        <v>0</v>
      </c>
      <c r="O13" s="18">
        <f>'N TRIBUTARIO'!N38</f>
        <v>0</v>
      </c>
      <c r="P13" s="18">
        <f>'N TRIBUTARIO'!O38</f>
        <v>1</v>
      </c>
      <c r="Q13" s="18">
        <f>'N TRIBUTARIO'!P38</f>
        <v>0</v>
      </c>
      <c r="R13" s="18">
        <f>'N TRIBUTARIO'!Q38</f>
        <v>0</v>
      </c>
      <c r="S13" s="18">
        <f>'N TRIBUTARIO'!R38</f>
        <v>0</v>
      </c>
      <c r="T13" s="18">
        <f>'N TRIBUTARIO'!S38</f>
        <v>0</v>
      </c>
      <c r="U13" s="18" t="str">
        <f>'N TRIBUTARIO'!T38</f>
        <v>-</v>
      </c>
      <c r="V13" s="18" t="str">
        <f>'N TRIBUTARIO'!U38</f>
        <v xml:space="preserve"> </v>
      </c>
      <c r="W13" s="18" t="str">
        <f>'N TRIBUTARIO'!V38</f>
        <v>SAN JULIAN-0312-ESTE</v>
      </c>
      <c r="X13" s="18" t="str">
        <f>'N TRIBUTARIO'!W38</f>
        <v>0312-031079-001-0</v>
      </c>
      <c r="Y13" s="18" t="str">
        <f>'N TRIBUTARIO'!X38</f>
        <v>SAN JULIAN ESTE</v>
      </c>
      <c r="Z13" s="18" t="str">
        <f>'N TRIBUTARIO'!Y38</f>
        <v>0312-031079-001-0 SAN JULIAN ESTE</v>
      </c>
      <c r="AA13" s="18" t="str">
        <f>'N TRIBUTARIO'!Z38</f>
        <v>0312 SAN JULIAN-ESTE</v>
      </c>
      <c r="AB13" s="18">
        <f>'N TRIBUTARIO'!AA38</f>
        <v>0</v>
      </c>
      <c r="AC13" s="18">
        <f>'N TRIBUTARIO'!AB38</f>
        <v>0</v>
      </c>
      <c r="AD13" s="18">
        <f>'N TRIBUTARIO'!AC38</f>
        <v>0</v>
      </c>
    </row>
    <row r="14" spans="1:30" ht="19" customHeight="1" x14ac:dyDescent="0.4">
      <c r="A14" s="18">
        <f>'N TRIBUTARIO'!A39</f>
        <v>0</v>
      </c>
      <c r="B14" s="18" t="str">
        <f>'N TRIBUTARIO'!B39</f>
        <v>03</v>
      </c>
      <c r="C14" s="18" t="str">
        <f>'N TRIBUTARIO'!C39</f>
        <v>10</v>
      </c>
      <c r="D14" s="18" t="str">
        <f>'N TRIBUTARIO'!D39</f>
        <v>79</v>
      </c>
      <c r="E14" s="18" t="str">
        <f>'N TRIBUTARIO'!E39</f>
        <v>001</v>
      </c>
      <c r="F14" s="18">
        <f>'N TRIBUTARIO'!F39</f>
        <v>0</v>
      </c>
      <c r="G14" s="18">
        <f>'N TRIBUTARIO'!G39</f>
        <v>38</v>
      </c>
      <c r="H14" s="18" t="str">
        <f>'N TRIBUTARIO'!H39</f>
        <v>0313</v>
      </c>
      <c r="I14" s="18">
        <f>'N TRIBUTARIO'!I39</f>
        <v>0</v>
      </c>
      <c r="J14" s="18" t="s">
        <v>725</v>
      </c>
      <c r="K14" s="18" t="str">
        <f>'N TRIBUTARIO'!J39</f>
        <v>SANTA CATARINA MASAHUAT</v>
      </c>
      <c r="L14" s="18" t="str">
        <f>'N TRIBUTARIO'!K39</f>
        <v>NORTE</v>
      </c>
      <c r="M14" s="18" t="str">
        <f>'N TRIBUTARIO'!L39</f>
        <v>SONSONATE</v>
      </c>
      <c r="N14" s="18">
        <f>'N TRIBUTARIO'!M39</f>
        <v>0</v>
      </c>
      <c r="O14" s="18">
        <f>'N TRIBUTARIO'!N39</f>
        <v>0</v>
      </c>
      <c r="P14" s="18">
        <f>'N TRIBUTARIO'!O39</f>
        <v>0</v>
      </c>
      <c r="Q14" s="18">
        <f>'N TRIBUTARIO'!P39</f>
        <v>1</v>
      </c>
      <c r="R14" s="18">
        <f>'N TRIBUTARIO'!Q39</f>
        <v>0</v>
      </c>
      <c r="S14" s="18">
        <f>'N TRIBUTARIO'!R39</f>
        <v>0</v>
      </c>
      <c r="T14" s="18">
        <f>'N TRIBUTARIO'!S39</f>
        <v>0</v>
      </c>
      <c r="U14" s="18" t="str">
        <f>'N TRIBUTARIO'!T39</f>
        <v>-</v>
      </c>
      <c r="V14" s="18" t="str">
        <f>'N TRIBUTARIO'!U39</f>
        <v xml:space="preserve"> </v>
      </c>
      <c r="W14" s="18" t="str">
        <f>'N TRIBUTARIO'!V39</f>
        <v>SANTA CATARINA MASAHUAT-0313-NORTE</v>
      </c>
      <c r="X14" s="18" t="str">
        <f>'N TRIBUTARIO'!W39</f>
        <v>0313-031079-001-0</v>
      </c>
      <c r="Y14" s="18" t="str">
        <f>'N TRIBUTARIO'!X39</f>
        <v>SANTA CATARINA MASAHUAT NORTE</v>
      </c>
      <c r="Z14" s="18" t="str">
        <f>'N TRIBUTARIO'!Y39</f>
        <v>0313-031079-001-0 SANTA CATARINA MASAHUAT NORTE</v>
      </c>
      <c r="AA14" s="18" t="str">
        <f>'N TRIBUTARIO'!Z39</f>
        <v>0313 SANTA CATARINA MASAHUAT-NORTE</v>
      </c>
      <c r="AB14" s="18">
        <f>'N TRIBUTARIO'!AA39</f>
        <v>0</v>
      </c>
      <c r="AC14" s="18">
        <f>'N TRIBUTARIO'!AB39</f>
        <v>0</v>
      </c>
      <c r="AD14" s="18">
        <f>'N TRIBUTARIO'!AC39</f>
        <v>0</v>
      </c>
    </row>
    <row r="15" spans="1:30" ht="19" customHeight="1" x14ac:dyDescent="0.4">
      <c r="A15" s="18">
        <f>'N TRIBUTARIO'!A40</f>
        <v>0</v>
      </c>
      <c r="B15" s="18" t="str">
        <f>'N TRIBUTARIO'!B40</f>
        <v>03</v>
      </c>
      <c r="C15" s="18" t="str">
        <f>'N TRIBUTARIO'!C40</f>
        <v>10</v>
      </c>
      <c r="D15" s="18" t="str">
        <f>'N TRIBUTARIO'!D40</f>
        <v>79</v>
      </c>
      <c r="E15" s="18" t="str">
        <f>'N TRIBUTARIO'!E40</f>
        <v>001</v>
      </c>
      <c r="F15" s="18">
        <f>'N TRIBUTARIO'!F40</f>
        <v>0</v>
      </c>
      <c r="G15" s="18">
        <f>'N TRIBUTARIO'!G40</f>
        <v>39</v>
      </c>
      <c r="H15" s="18" t="str">
        <f>'N TRIBUTARIO'!H40</f>
        <v>0314</v>
      </c>
      <c r="I15" s="18">
        <f>'N TRIBUTARIO'!I40</f>
        <v>0</v>
      </c>
      <c r="J15" s="18" t="s">
        <v>725</v>
      </c>
      <c r="K15" s="18" t="str">
        <f>'N TRIBUTARIO'!J40</f>
        <v>SANTO DOMINGO DE GUZMAN</v>
      </c>
      <c r="L15" s="18" t="str">
        <f>'N TRIBUTARIO'!K40</f>
        <v>CENTRO</v>
      </c>
      <c r="M15" s="18" t="str">
        <f>'N TRIBUTARIO'!L40</f>
        <v>SONSONATE</v>
      </c>
      <c r="N15" s="18">
        <f>'N TRIBUTARIO'!M40</f>
        <v>1</v>
      </c>
      <c r="O15" s="18">
        <f>'N TRIBUTARIO'!N40</f>
        <v>0</v>
      </c>
      <c r="P15" s="18">
        <f>'N TRIBUTARIO'!O40</f>
        <v>0</v>
      </c>
      <c r="Q15" s="18">
        <f>'N TRIBUTARIO'!P40</f>
        <v>0</v>
      </c>
      <c r="R15" s="18">
        <f>'N TRIBUTARIO'!Q40</f>
        <v>0</v>
      </c>
      <c r="S15" s="18">
        <f>'N TRIBUTARIO'!R40</f>
        <v>0</v>
      </c>
      <c r="T15" s="18">
        <f>'N TRIBUTARIO'!S40</f>
        <v>0</v>
      </c>
      <c r="U15" s="18" t="str">
        <f>'N TRIBUTARIO'!T40</f>
        <v>-</v>
      </c>
      <c r="V15" s="18" t="str">
        <f>'N TRIBUTARIO'!U40</f>
        <v xml:space="preserve"> </v>
      </c>
      <c r="W15" s="18" t="str">
        <f>'N TRIBUTARIO'!V40</f>
        <v>SANTO DOMINGO DE GUZMAN-0314-CENTRO</v>
      </c>
      <c r="X15" s="18" t="str">
        <f>'N TRIBUTARIO'!W40</f>
        <v>0314-031079-001-0</v>
      </c>
      <c r="Y15" s="18" t="str">
        <f>'N TRIBUTARIO'!X40</f>
        <v>SANTO DOMINGO DE GUZMAN CENTRO</v>
      </c>
      <c r="Z15" s="18" t="str">
        <f>'N TRIBUTARIO'!Y40</f>
        <v>0314-031079-001-0 SANTO DOMINGO DE GUZMAN CENTRO</v>
      </c>
      <c r="AA15" s="18" t="str">
        <f>'N TRIBUTARIO'!Z40</f>
        <v>0314 SANTO DOMINGO DE GUZMAN-CENTRO</v>
      </c>
      <c r="AB15" s="18">
        <f>'N TRIBUTARIO'!AA40</f>
        <v>0</v>
      </c>
      <c r="AC15" s="18">
        <f>'N TRIBUTARIO'!AB40</f>
        <v>0</v>
      </c>
      <c r="AD15" s="18">
        <f>'N TRIBUTARIO'!AC40</f>
        <v>0</v>
      </c>
    </row>
    <row r="16" spans="1:30" ht="19" customHeight="1" x14ac:dyDescent="0.4">
      <c r="A16" s="18" t="str">
        <f>'N TRIBUTARIO'!A41</f>
        <v>1C</v>
      </c>
      <c r="B16" s="18" t="str">
        <f>'N TRIBUTARIO'!B41</f>
        <v>01</v>
      </c>
      <c r="C16" s="18" t="str">
        <f>'N TRIBUTARIO'!C41</f>
        <v>06</v>
      </c>
      <c r="D16" s="18" t="str">
        <f>'N TRIBUTARIO'!D41</f>
        <v>11</v>
      </c>
      <c r="E16" s="18" t="str">
        <f>'N TRIBUTARIO'!E41</f>
        <v>001</v>
      </c>
      <c r="F16" s="18">
        <f>'N TRIBUTARIO'!F41</f>
        <v>5</v>
      </c>
      <c r="G16" s="18">
        <f>'N TRIBUTARIO'!G41</f>
        <v>40</v>
      </c>
      <c r="H16" s="18" t="str">
        <f>'N TRIBUTARIO'!H41</f>
        <v>0315</v>
      </c>
      <c r="I16" s="18">
        <f>'N TRIBUTARIO'!I41</f>
        <v>3</v>
      </c>
      <c r="J16" s="18" t="s">
        <v>725</v>
      </c>
      <c r="K16" s="18" t="str">
        <f>'N TRIBUTARIO'!J41</f>
        <v>SONSONATE</v>
      </c>
      <c r="L16" s="18" t="str">
        <f>'N TRIBUTARIO'!K41</f>
        <v>CENTRO</v>
      </c>
      <c r="M16" s="18" t="str">
        <f>'N TRIBUTARIO'!L41</f>
        <v>SONSONATE</v>
      </c>
      <c r="N16" s="18">
        <f>'N TRIBUTARIO'!M41</f>
        <v>1</v>
      </c>
      <c r="O16" s="18">
        <f>'N TRIBUTARIO'!N41</f>
        <v>0</v>
      </c>
      <c r="P16" s="18">
        <f>'N TRIBUTARIO'!O41</f>
        <v>0</v>
      </c>
      <c r="Q16" s="18">
        <f>'N TRIBUTARIO'!P41</f>
        <v>0</v>
      </c>
      <c r="R16" s="18">
        <f>'N TRIBUTARIO'!Q41</f>
        <v>0</v>
      </c>
      <c r="S16" s="18">
        <f>'N TRIBUTARIO'!R41</f>
        <v>0</v>
      </c>
      <c r="T16" s="18">
        <f>'N TRIBUTARIO'!S41</f>
        <v>0</v>
      </c>
      <c r="U16" s="18" t="str">
        <f>'N TRIBUTARIO'!T41</f>
        <v>-</v>
      </c>
      <c r="V16" s="18" t="str">
        <f>'N TRIBUTARIO'!U41</f>
        <v xml:space="preserve"> </v>
      </c>
      <c r="W16" s="18" t="str">
        <f>'N TRIBUTARIO'!V41</f>
        <v>SONSONATE-0315-CENTRO</v>
      </c>
      <c r="X16" s="18" t="str">
        <f>'N TRIBUTARIO'!W41</f>
        <v>0315-010611-001-5</v>
      </c>
      <c r="Y16" s="18" t="str">
        <f>'N TRIBUTARIO'!X41</f>
        <v>SONSONATE CENTRO</v>
      </c>
      <c r="Z16" s="18" t="str">
        <f>'N TRIBUTARIO'!Y41</f>
        <v>0315-010611-001-5 SONSONATE CENTRO</v>
      </c>
      <c r="AA16" s="18" t="str">
        <f>'N TRIBUTARIO'!Z41</f>
        <v>0315 SONSONATE-CENTRO</v>
      </c>
      <c r="AB16" s="18">
        <f>'N TRIBUTARIO'!AA41</f>
        <v>329.38</v>
      </c>
      <c r="AC16" s="18">
        <f>'N TRIBUTARIO'!AB41</f>
        <v>140920</v>
      </c>
      <c r="AD16" s="18">
        <f>'N TRIBUTARIO'!AC41</f>
        <v>427.83</v>
      </c>
    </row>
    <row r="17" spans="1:30" ht="19" customHeight="1" x14ac:dyDescent="0.4">
      <c r="A17" s="18">
        <f>'N TRIBUTARIO'!A42</f>
        <v>0</v>
      </c>
      <c r="B17" s="18" t="str">
        <f>'N TRIBUTARIO'!B42</f>
        <v>03</v>
      </c>
      <c r="C17" s="18" t="str">
        <f>'N TRIBUTARIO'!C42</f>
        <v>10</v>
      </c>
      <c r="D17" s="18" t="str">
        <f>'N TRIBUTARIO'!D42</f>
        <v>79</v>
      </c>
      <c r="E17" s="18" t="str">
        <f>'N TRIBUTARIO'!E42</f>
        <v>001</v>
      </c>
      <c r="F17" s="18">
        <f>'N TRIBUTARIO'!F42</f>
        <v>0</v>
      </c>
      <c r="G17" s="18">
        <f>'N TRIBUTARIO'!G42</f>
        <v>41</v>
      </c>
      <c r="H17" s="18" t="str">
        <f>'N TRIBUTARIO'!H42</f>
        <v>0316</v>
      </c>
      <c r="I17" s="18">
        <f>'N TRIBUTARIO'!I42</f>
        <v>0</v>
      </c>
      <c r="J17" s="18" t="s">
        <v>725</v>
      </c>
      <c r="K17" s="18" t="str">
        <f>'N TRIBUTARIO'!J42</f>
        <v>SONZACATE</v>
      </c>
      <c r="L17" s="18" t="str">
        <f>'N TRIBUTARIO'!K42</f>
        <v>CENTRO</v>
      </c>
      <c r="M17" s="18" t="str">
        <f>'N TRIBUTARIO'!L42</f>
        <v>SONSONATE</v>
      </c>
      <c r="N17" s="18">
        <f>'N TRIBUTARIO'!M42</f>
        <v>1</v>
      </c>
      <c r="O17" s="18">
        <f>'N TRIBUTARIO'!N42</f>
        <v>0</v>
      </c>
      <c r="P17" s="18">
        <f>'N TRIBUTARIO'!O42</f>
        <v>0</v>
      </c>
      <c r="Q17" s="18">
        <f>'N TRIBUTARIO'!P42</f>
        <v>0</v>
      </c>
      <c r="R17" s="18">
        <f>'N TRIBUTARIO'!Q42</f>
        <v>0</v>
      </c>
      <c r="S17" s="18">
        <f>'N TRIBUTARIO'!R42</f>
        <v>0</v>
      </c>
      <c r="T17" s="18">
        <f>'N TRIBUTARIO'!S42</f>
        <v>0</v>
      </c>
      <c r="U17" s="18" t="str">
        <f>'N TRIBUTARIO'!T42</f>
        <v>-</v>
      </c>
      <c r="V17" s="18" t="str">
        <f>'N TRIBUTARIO'!U42</f>
        <v xml:space="preserve"> </v>
      </c>
      <c r="W17" s="18" t="str">
        <f>'N TRIBUTARIO'!V42</f>
        <v>SONZACATE-0316-CENTRO</v>
      </c>
      <c r="X17" s="18" t="str">
        <f>'N TRIBUTARIO'!W42</f>
        <v>0316-031079-001-0</v>
      </c>
      <c r="Y17" s="18" t="str">
        <f>'N TRIBUTARIO'!X42</f>
        <v>SONZACATE CENTRO</v>
      </c>
      <c r="Z17" s="18" t="str">
        <f>'N TRIBUTARIO'!Y42</f>
        <v>0316-031079-001-0 SONZACATE CENTRO</v>
      </c>
      <c r="AA17" s="18" t="str">
        <f>'N TRIBUTARIO'!Z42</f>
        <v>0316 SONZACATE-CENTRO</v>
      </c>
      <c r="AB17" s="18">
        <f>'N TRIBUTARIO'!AA42</f>
        <v>0</v>
      </c>
      <c r="AC17" s="18">
        <f>'N TRIBUTARIO'!AB42</f>
        <v>0</v>
      </c>
      <c r="AD17" s="18">
        <f>'N TRIBUTARIO'!AC42</f>
        <v>0</v>
      </c>
    </row>
    <row r="18" spans="1:30" ht="19" customHeight="1" x14ac:dyDescent="0.4">
      <c r="N18" s="1">
        <f>SUM(N2:N17)</f>
        <v>5</v>
      </c>
      <c r="O18" s="1">
        <f t="shared" ref="O18:T18" si="0">SUM(O2:O17)</f>
        <v>0</v>
      </c>
      <c r="P18" s="1">
        <f t="shared" si="0"/>
        <v>6</v>
      </c>
      <c r="Q18" s="1">
        <f t="shared" si="0"/>
        <v>4</v>
      </c>
      <c r="R18" s="1">
        <f t="shared" si="0"/>
        <v>1</v>
      </c>
      <c r="S18" s="1">
        <f t="shared" si="0"/>
        <v>0</v>
      </c>
      <c r="T18" s="1">
        <f t="shared" si="0"/>
        <v>0</v>
      </c>
    </row>
    <row r="19" spans="1:30" ht="19" customHeight="1" x14ac:dyDescent="0.4">
      <c r="J19" s="1" t="str">
        <f>N1</f>
        <v>CENTRO</v>
      </c>
      <c r="K19" s="1" t="str">
        <f>CONCATENATE(K10,J10,K12,J12,K15,J15,K16,J16,K17)</f>
        <v>NAHULINGO, SAN ANTONIO DEL MONTE, SANTO DOMINGO DE GUZMAN, SONSONATE, SONZACATE</v>
      </c>
    </row>
    <row r="20" spans="1:30" ht="19" customHeight="1" x14ac:dyDescent="0.4">
      <c r="J20" s="1" t="str">
        <f>P1</f>
        <v>ESTE</v>
      </c>
      <c r="K20" s="1" t="str">
        <f>CONCATENATE(K3,J3,K4,J4,K5,J5,K6,J6,K7,J7,K13)</f>
        <v>ARMENIA, CALUCO, CUISNAHUAT, SANTA ISABEL ISHUATAN, IZALCO, SAN JULIAN</v>
      </c>
    </row>
    <row r="21" spans="1:30" ht="19" customHeight="1" x14ac:dyDescent="0.4">
      <c r="J21" s="1" t="str">
        <f>Q1</f>
        <v>NORTE</v>
      </c>
      <c r="K21" s="1" t="str">
        <f>CONCATENATE(K8,J8,K9,J9,K11,J11,K14)</f>
        <v>JUAYUA, NAHUIZALCO, SALCOATITAN, SANTA CATARINA MASAHUAT</v>
      </c>
    </row>
    <row r="22" spans="1:30" ht="19" customHeight="1" x14ac:dyDescent="0.4">
      <c r="J22" s="1" t="str">
        <f>R1</f>
        <v>OESTE</v>
      </c>
      <c r="K22" s="1" t="str">
        <f>CONCATENATE(K2)</f>
        <v>ACAJUTLA</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B807-915B-4CA5-8388-E3D2C59977DF}">
  <sheetPr codeName="Hoja11"/>
  <dimension ref="A1:AD38"/>
  <sheetViews>
    <sheetView showZeros="0" topLeftCell="A22"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7" t="str">
        <f>'N TRIBUTARIO'!A43</f>
        <v>1C</v>
      </c>
      <c r="B2" s="17" t="str">
        <f>'N TRIBUTARIO'!B43</f>
        <v>04</v>
      </c>
      <c r="C2" s="17" t="str">
        <f>'N TRIBUTARIO'!C43</f>
        <v>10</v>
      </c>
      <c r="D2" s="17" t="str">
        <f>'N TRIBUTARIO'!D43</f>
        <v>79</v>
      </c>
      <c r="E2" s="17" t="str">
        <f>'N TRIBUTARIO'!E43</f>
        <v>001</v>
      </c>
      <c r="F2" s="17">
        <f>'N TRIBUTARIO'!F43</f>
        <v>9</v>
      </c>
      <c r="G2" s="17">
        <f>'N TRIBUTARIO'!G43</f>
        <v>42</v>
      </c>
      <c r="H2" s="17" t="str">
        <f>'N TRIBUTARIO'!H43</f>
        <v>0401</v>
      </c>
      <c r="I2" s="17">
        <f>'N TRIBUTARIO'!I43</f>
        <v>0</v>
      </c>
      <c r="J2" s="17" t="s">
        <v>725</v>
      </c>
      <c r="K2" s="17" t="str">
        <f>'N TRIBUTARIO'!J43</f>
        <v>AGUA CALIENTE</v>
      </c>
      <c r="L2" s="17" t="str">
        <f>'N TRIBUTARIO'!K43</f>
        <v>CENTRO</v>
      </c>
      <c r="M2" s="17" t="str">
        <f>'N TRIBUTARIO'!L43</f>
        <v>CHALATENANGO</v>
      </c>
      <c r="N2" s="17">
        <f>'N TRIBUTARIO'!M43</f>
        <v>1</v>
      </c>
      <c r="O2" s="17">
        <f>'N TRIBUTARIO'!N43</f>
        <v>0</v>
      </c>
      <c r="P2" s="17">
        <f>'N TRIBUTARIO'!O43</f>
        <v>0</v>
      </c>
      <c r="Q2" s="17">
        <f>'N TRIBUTARIO'!P43</f>
        <v>0</v>
      </c>
      <c r="R2" s="17">
        <f>'N TRIBUTARIO'!Q43</f>
        <v>0</v>
      </c>
      <c r="S2" s="17">
        <f>'N TRIBUTARIO'!R43</f>
        <v>0</v>
      </c>
      <c r="T2" s="17">
        <f>'N TRIBUTARIO'!S43</f>
        <v>0</v>
      </c>
      <c r="U2" s="17" t="str">
        <f>'N TRIBUTARIO'!T43</f>
        <v>-</v>
      </c>
      <c r="V2" s="17" t="str">
        <f>'N TRIBUTARIO'!U43</f>
        <v xml:space="preserve"> </v>
      </c>
      <c r="W2" s="17" t="str">
        <f>'N TRIBUTARIO'!V43</f>
        <v>AGUA CALIENTE-0401-CENTRO</v>
      </c>
      <c r="X2" s="17" t="str">
        <f>'N TRIBUTARIO'!W43</f>
        <v>0401-041079-001-9</v>
      </c>
      <c r="Y2" s="17" t="str">
        <f>'N TRIBUTARIO'!X43</f>
        <v>AGUA CALIENTE CENTRO</v>
      </c>
      <c r="Z2" s="17" t="str">
        <f>'N TRIBUTARIO'!Y43</f>
        <v>0401-041079-001-9 AGUA CALIENTE CENTRO</v>
      </c>
      <c r="AA2" s="17" t="str">
        <f>'N TRIBUTARIO'!Z43</f>
        <v>0401 AGUA CALIENTE-CENTRO</v>
      </c>
      <c r="AB2" s="17">
        <f>'N TRIBUTARIO'!AA43</f>
        <v>1018.45</v>
      </c>
      <c r="AC2" s="17">
        <f>'N TRIBUTARIO'!AB43</f>
        <v>100658</v>
      </c>
      <c r="AD2" s="17">
        <f>'N TRIBUTARIO'!AC43</f>
        <v>98.83</v>
      </c>
    </row>
    <row r="3" spans="1:30" ht="19" customHeight="1" x14ac:dyDescent="0.4">
      <c r="A3" s="17" t="str">
        <f>'N TRIBUTARIO'!A44</f>
        <v>S1</v>
      </c>
      <c r="B3" s="17" t="str">
        <f>'N TRIBUTARIO'!B44</f>
        <v>04</v>
      </c>
      <c r="C3" s="17" t="str">
        <f>'N TRIBUTARIO'!C44</f>
        <v>10</v>
      </c>
      <c r="D3" s="17" t="str">
        <f>'N TRIBUTARIO'!D44</f>
        <v>79</v>
      </c>
      <c r="E3" s="17" t="str">
        <f>'N TRIBUTARIO'!E44</f>
        <v>001</v>
      </c>
      <c r="F3" s="17">
        <f>'N TRIBUTARIO'!F44</f>
        <v>9</v>
      </c>
      <c r="G3" s="17">
        <f>'N TRIBUTARIO'!G44</f>
        <v>43</v>
      </c>
      <c r="H3" s="17" t="str">
        <f>'N TRIBUTARIO'!H44</f>
        <v>0402</v>
      </c>
      <c r="I3" s="17">
        <f>'N TRIBUTARIO'!I44</f>
        <v>0</v>
      </c>
      <c r="J3" s="17" t="s">
        <v>725</v>
      </c>
      <c r="K3" s="17" t="str">
        <f>'N TRIBUTARIO'!J44</f>
        <v>ARCATAO</v>
      </c>
      <c r="L3" s="17" t="str">
        <f>'N TRIBUTARIO'!K44</f>
        <v>SUR</v>
      </c>
      <c r="M3" s="17" t="str">
        <f>'N TRIBUTARIO'!L44</f>
        <v>CHALATENANGO</v>
      </c>
      <c r="N3" s="17">
        <f>'N TRIBUTARIO'!M44</f>
        <v>0</v>
      </c>
      <c r="O3" s="17">
        <f>'N TRIBUTARIO'!N44</f>
        <v>0</v>
      </c>
      <c r="P3" s="17">
        <f>'N TRIBUTARIO'!O44</f>
        <v>0</v>
      </c>
      <c r="Q3" s="17">
        <f>'N TRIBUTARIO'!P44</f>
        <v>0</v>
      </c>
      <c r="R3" s="17">
        <f>'N TRIBUTARIO'!Q44</f>
        <v>0</v>
      </c>
      <c r="S3" s="17">
        <f>'N TRIBUTARIO'!R44</f>
        <v>1</v>
      </c>
      <c r="T3" s="17">
        <f>'N TRIBUTARIO'!S44</f>
        <v>0</v>
      </c>
      <c r="U3" s="17" t="str">
        <f>'N TRIBUTARIO'!T44</f>
        <v>-</v>
      </c>
      <c r="V3" s="17" t="str">
        <f>'N TRIBUTARIO'!U44</f>
        <v xml:space="preserve"> </v>
      </c>
      <c r="W3" s="17" t="str">
        <f>'N TRIBUTARIO'!V44</f>
        <v>ARCATAO-0402-SUR</v>
      </c>
      <c r="X3" s="17" t="str">
        <f>'N TRIBUTARIO'!W44</f>
        <v>0402-041079-001-9</v>
      </c>
      <c r="Y3" s="17" t="str">
        <f>'N TRIBUTARIO'!X44</f>
        <v>ARCATAO SUR</v>
      </c>
      <c r="Z3" s="17" t="str">
        <f>'N TRIBUTARIO'!Y44</f>
        <v>0402-041079-001-9 ARCATAO SUR</v>
      </c>
      <c r="AA3" s="17" t="str">
        <f>'N TRIBUTARIO'!Z44</f>
        <v>0402 ARCATAO-SUR</v>
      </c>
      <c r="AB3" s="17">
        <f>'N TRIBUTARIO'!AA44</f>
        <v>713.99</v>
      </c>
      <c r="AC3" s="17">
        <f>'N TRIBUTARIO'!AB44</f>
        <v>74809</v>
      </c>
      <c r="AD3" s="17">
        <f>'N TRIBUTARIO'!AC44</f>
        <v>104.78</v>
      </c>
    </row>
    <row r="4" spans="1:30" ht="19" customHeight="1" x14ac:dyDescent="0.4">
      <c r="A4" s="17">
        <f>'N TRIBUTARIO'!A45</f>
        <v>0</v>
      </c>
      <c r="B4" s="17" t="str">
        <f>'N TRIBUTARIO'!B45</f>
        <v>04</v>
      </c>
      <c r="C4" s="17" t="str">
        <f>'N TRIBUTARIO'!C45</f>
        <v>10</v>
      </c>
      <c r="D4" s="17" t="str">
        <f>'N TRIBUTARIO'!D45</f>
        <v>79</v>
      </c>
      <c r="E4" s="17" t="str">
        <f>'N TRIBUTARIO'!E45</f>
        <v>001</v>
      </c>
      <c r="F4" s="17">
        <f>'N TRIBUTARIO'!F45</f>
        <v>9</v>
      </c>
      <c r="G4" s="17">
        <f>'N TRIBUTARIO'!G45</f>
        <v>44</v>
      </c>
      <c r="H4" s="17" t="str">
        <f>'N TRIBUTARIO'!H45</f>
        <v>0403</v>
      </c>
      <c r="I4" s="17">
        <f>'N TRIBUTARIO'!I45</f>
        <v>0</v>
      </c>
      <c r="J4" s="17" t="s">
        <v>725</v>
      </c>
      <c r="K4" s="17" t="str">
        <f>'N TRIBUTARIO'!J45</f>
        <v>AZACUALPA</v>
      </c>
      <c r="L4" s="17" t="str">
        <f>'N TRIBUTARIO'!K45</f>
        <v>SUR</v>
      </c>
      <c r="M4" s="17" t="str">
        <f>'N TRIBUTARIO'!L45</f>
        <v>CHALATENANGO</v>
      </c>
      <c r="N4" s="17">
        <f>'N TRIBUTARIO'!M45</f>
        <v>0</v>
      </c>
      <c r="O4" s="17">
        <f>'N TRIBUTARIO'!N45</f>
        <v>0</v>
      </c>
      <c r="P4" s="17">
        <f>'N TRIBUTARIO'!O45</f>
        <v>0</v>
      </c>
      <c r="Q4" s="17">
        <f>'N TRIBUTARIO'!P45</f>
        <v>0</v>
      </c>
      <c r="R4" s="17">
        <f>'N TRIBUTARIO'!Q45</f>
        <v>0</v>
      </c>
      <c r="S4" s="17">
        <f>'N TRIBUTARIO'!R45</f>
        <v>1</v>
      </c>
      <c r="T4" s="17">
        <f>'N TRIBUTARIO'!S45</f>
        <v>0</v>
      </c>
      <c r="U4" s="17" t="str">
        <f>'N TRIBUTARIO'!T45</f>
        <v>-</v>
      </c>
      <c r="V4" s="17" t="str">
        <f>'N TRIBUTARIO'!U45</f>
        <v xml:space="preserve"> </v>
      </c>
      <c r="W4" s="17" t="str">
        <f>'N TRIBUTARIO'!V45</f>
        <v>AZACUALPA-0403-SUR</v>
      </c>
      <c r="X4" s="17" t="str">
        <f>'N TRIBUTARIO'!W45</f>
        <v>0403-041079-001-9</v>
      </c>
      <c r="Y4" s="17" t="str">
        <f>'N TRIBUTARIO'!X45</f>
        <v>AZACUALPA SUR</v>
      </c>
      <c r="Z4" s="17" t="str">
        <f>'N TRIBUTARIO'!Y45</f>
        <v>0403-041079-001-9 AZACUALPA SUR</v>
      </c>
      <c r="AA4" s="17" t="str">
        <f>'N TRIBUTARIO'!Z45</f>
        <v>0403 AZACUALPA-SUR</v>
      </c>
      <c r="AB4" s="17">
        <f>'N TRIBUTARIO'!AA45</f>
        <v>0</v>
      </c>
      <c r="AC4" s="17">
        <f>'N TRIBUTARIO'!AB45</f>
        <v>0</v>
      </c>
      <c r="AD4" s="17">
        <f>'N TRIBUTARIO'!AC45</f>
        <v>0</v>
      </c>
    </row>
    <row r="5" spans="1:30" ht="19" customHeight="1" x14ac:dyDescent="0.4">
      <c r="A5" s="17" t="str">
        <f>'N TRIBUTARIO'!A46</f>
        <v>N1</v>
      </c>
      <c r="B5" s="17" t="str">
        <f>'N TRIBUTARIO'!B46</f>
        <v>04</v>
      </c>
      <c r="C5" s="17" t="str">
        <f>'N TRIBUTARIO'!C46</f>
        <v>10</v>
      </c>
      <c r="D5" s="17" t="str">
        <f>'N TRIBUTARIO'!D46</f>
        <v>79</v>
      </c>
      <c r="E5" s="17" t="str">
        <f>'N TRIBUTARIO'!E46</f>
        <v>001</v>
      </c>
      <c r="F5" s="17">
        <f>'N TRIBUTARIO'!F46</f>
        <v>9</v>
      </c>
      <c r="G5" s="17">
        <f>'N TRIBUTARIO'!G46</f>
        <v>45</v>
      </c>
      <c r="H5" s="17" t="str">
        <f>'N TRIBUTARIO'!H46</f>
        <v>0404</v>
      </c>
      <c r="I5" s="17">
        <f>'N TRIBUTARIO'!I46</f>
        <v>0</v>
      </c>
      <c r="J5" s="17" t="s">
        <v>725</v>
      </c>
      <c r="K5" s="17" t="str">
        <f>'N TRIBUTARIO'!J46</f>
        <v>CITALA</v>
      </c>
      <c r="L5" s="17" t="str">
        <f>'N TRIBUTARIO'!K46</f>
        <v>NORTE</v>
      </c>
      <c r="M5" s="17" t="str">
        <f>'N TRIBUTARIO'!L46</f>
        <v>CHALATENANGO</v>
      </c>
      <c r="N5" s="17">
        <f>'N TRIBUTARIO'!M46</f>
        <v>0</v>
      </c>
      <c r="O5" s="17">
        <f>'N TRIBUTARIO'!N46</f>
        <v>0</v>
      </c>
      <c r="P5" s="17">
        <f>'N TRIBUTARIO'!O46</f>
        <v>0</v>
      </c>
      <c r="Q5" s="17">
        <f>'N TRIBUTARIO'!P46</f>
        <v>1</v>
      </c>
      <c r="R5" s="17">
        <f>'N TRIBUTARIO'!Q46</f>
        <v>0</v>
      </c>
      <c r="S5" s="17">
        <f>'N TRIBUTARIO'!R46</f>
        <v>0</v>
      </c>
      <c r="T5" s="17">
        <f>'N TRIBUTARIO'!S46</f>
        <v>0</v>
      </c>
      <c r="U5" s="17" t="str">
        <f>'N TRIBUTARIO'!T46</f>
        <v>-</v>
      </c>
      <c r="V5" s="17" t="str">
        <f>'N TRIBUTARIO'!U46</f>
        <v xml:space="preserve"> </v>
      </c>
      <c r="W5" s="17" t="str">
        <f>'N TRIBUTARIO'!V46</f>
        <v>CITALA-0404-NORTE</v>
      </c>
      <c r="X5" s="17" t="str">
        <f>'N TRIBUTARIO'!W46</f>
        <v>0404-041079-001-9</v>
      </c>
      <c r="Y5" s="17" t="str">
        <f>'N TRIBUTARIO'!X46</f>
        <v>CITALA NORTE</v>
      </c>
      <c r="Z5" s="17" t="str">
        <f>'N TRIBUTARIO'!Y46</f>
        <v>0404-041079-001-9 CITALA NORTE</v>
      </c>
      <c r="AA5" s="17" t="str">
        <f>'N TRIBUTARIO'!Z46</f>
        <v>0404 CITALA-NORTE</v>
      </c>
      <c r="AB5" s="17">
        <f>'N TRIBUTARIO'!AA46</f>
        <v>284.11</v>
      </c>
      <c r="AC5" s="17">
        <f>'N TRIBUTARIO'!AB46</f>
        <v>54881</v>
      </c>
      <c r="AD5" s="17">
        <f>'N TRIBUTARIO'!AC46</f>
        <v>193.17</v>
      </c>
    </row>
    <row r="6" spans="1:30" ht="19" customHeight="1" x14ac:dyDescent="0.4">
      <c r="A6" s="17">
        <f>'N TRIBUTARIO'!A47</f>
        <v>0</v>
      </c>
      <c r="B6" s="17" t="str">
        <f>'N TRIBUTARIO'!B47</f>
        <v>04</v>
      </c>
      <c r="C6" s="17" t="str">
        <f>'N TRIBUTARIO'!C47</f>
        <v>10</v>
      </c>
      <c r="D6" s="17" t="str">
        <f>'N TRIBUTARIO'!D47</f>
        <v>79</v>
      </c>
      <c r="E6" s="17" t="str">
        <f>'N TRIBUTARIO'!E47</f>
        <v>001</v>
      </c>
      <c r="F6" s="17">
        <f>'N TRIBUTARIO'!F47</f>
        <v>9</v>
      </c>
      <c r="G6" s="17">
        <f>'N TRIBUTARIO'!G47</f>
        <v>46</v>
      </c>
      <c r="H6" s="17" t="str">
        <f>'N TRIBUTARIO'!H47</f>
        <v>0405</v>
      </c>
      <c r="I6" s="17">
        <f>'N TRIBUTARIO'!I47</f>
        <v>0</v>
      </c>
      <c r="J6" s="17" t="s">
        <v>725</v>
      </c>
      <c r="K6" s="17" t="str">
        <f>'N TRIBUTARIO'!J47</f>
        <v>COMALAPA</v>
      </c>
      <c r="L6" s="17" t="str">
        <f>'N TRIBUTARIO'!K47</f>
        <v>SUR</v>
      </c>
      <c r="M6" s="17" t="str">
        <f>'N TRIBUTARIO'!L47</f>
        <v>CHALATENANGO</v>
      </c>
      <c r="N6" s="17">
        <f>'N TRIBUTARIO'!M47</f>
        <v>0</v>
      </c>
      <c r="O6" s="17">
        <f>'N TRIBUTARIO'!N47</f>
        <v>0</v>
      </c>
      <c r="P6" s="17">
        <f>'N TRIBUTARIO'!O47</f>
        <v>0</v>
      </c>
      <c r="Q6" s="17">
        <f>'N TRIBUTARIO'!P47</f>
        <v>0</v>
      </c>
      <c r="R6" s="17">
        <f>'N TRIBUTARIO'!Q47</f>
        <v>0</v>
      </c>
      <c r="S6" s="17">
        <f>'N TRIBUTARIO'!R47</f>
        <v>1</v>
      </c>
      <c r="T6" s="17">
        <f>'N TRIBUTARIO'!S47</f>
        <v>0</v>
      </c>
      <c r="U6" s="17" t="str">
        <f>'N TRIBUTARIO'!T47</f>
        <v>-</v>
      </c>
      <c r="V6" s="17" t="str">
        <f>'N TRIBUTARIO'!U47</f>
        <v xml:space="preserve"> </v>
      </c>
      <c r="W6" s="17" t="str">
        <f>'N TRIBUTARIO'!V47</f>
        <v>COMALAPA-0405-SUR</v>
      </c>
      <c r="X6" s="17" t="str">
        <f>'N TRIBUTARIO'!W47</f>
        <v>0405-041079-001-9</v>
      </c>
      <c r="Y6" s="17" t="str">
        <f>'N TRIBUTARIO'!X47</f>
        <v>COMALAPA SUR</v>
      </c>
      <c r="Z6" s="17" t="str">
        <f>'N TRIBUTARIO'!Y47</f>
        <v>0405-041079-001-9 COMALAPA SUR</v>
      </c>
      <c r="AA6" s="17" t="str">
        <f>'N TRIBUTARIO'!Z47</f>
        <v>0405 COMALAPA-SUR</v>
      </c>
      <c r="AB6" s="17">
        <f>'N TRIBUTARIO'!AA47</f>
        <v>0</v>
      </c>
      <c r="AC6" s="17">
        <f>'N TRIBUTARIO'!AB47</f>
        <v>0</v>
      </c>
      <c r="AD6" s="17">
        <f>'N TRIBUTARIO'!AC47</f>
        <v>0</v>
      </c>
    </row>
    <row r="7" spans="1:30" ht="19" customHeight="1" x14ac:dyDescent="0.4">
      <c r="A7" s="17">
        <f>'N TRIBUTARIO'!A48</f>
        <v>0</v>
      </c>
      <c r="B7" s="17" t="str">
        <f>'N TRIBUTARIO'!B48</f>
        <v>04</v>
      </c>
      <c r="C7" s="17" t="str">
        <f>'N TRIBUTARIO'!C48</f>
        <v>10</v>
      </c>
      <c r="D7" s="17" t="str">
        <f>'N TRIBUTARIO'!D48</f>
        <v>79</v>
      </c>
      <c r="E7" s="17" t="str">
        <f>'N TRIBUTARIO'!E48</f>
        <v>001</v>
      </c>
      <c r="F7" s="17">
        <f>'N TRIBUTARIO'!F48</f>
        <v>9</v>
      </c>
      <c r="G7" s="17">
        <f>'N TRIBUTARIO'!G48</f>
        <v>47</v>
      </c>
      <c r="H7" s="17" t="str">
        <f>'N TRIBUTARIO'!H48</f>
        <v>0406</v>
      </c>
      <c r="I7" s="17">
        <f>'N TRIBUTARIO'!I48</f>
        <v>0</v>
      </c>
      <c r="J7" s="17" t="s">
        <v>725</v>
      </c>
      <c r="K7" s="17" t="str">
        <f>'N TRIBUTARIO'!J48</f>
        <v xml:space="preserve">CONCEPCION QUEZALTEPEQUE </v>
      </c>
      <c r="L7" s="17" t="str">
        <f>'N TRIBUTARIO'!K48</f>
        <v>SUR</v>
      </c>
      <c r="M7" s="17" t="str">
        <f>'N TRIBUTARIO'!L48</f>
        <v>CHALATENANGO</v>
      </c>
      <c r="N7" s="17">
        <f>'N TRIBUTARIO'!M48</f>
        <v>0</v>
      </c>
      <c r="O7" s="17">
        <f>'N TRIBUTARIO'!N48</f>
        <v>0</v>
      </c>
      <c r="P7" s="17">
        <f>'N TRIBUTARIO'!O48</f>
        <v>0</v>
      </c>
      <c r="Q7" s="17">
        <f>'N TRIBUTARIO'!P48</f>
        <v>0</v>
      </c>
      <c r="R7" s="17">
        <f>'N TRIBUTARIO'!Q48</f>
        <v>0</v>
      </c>
      <c r="S7" s="17">
        <f>'N TRIBUTARIO'!R48</f>
        <v>1</v>
      </c>
      <c r="T7" s="17">
        <f>'N TRIBUTARIO'!S48</f>
        <v>0</v>
      </c>
      <c r="U7" s="17" t="str">
        <f>'N TRIBUTARIO'!T48</f>
        <v>-</v>
      </c>
      <c r="V7" s="17" t="str">
        <f>'N TRIBUTARIO'!U48</f>
        <v xml:space="preserve"> </v>
      </c>
      <c r="W7" s="17" t="str">
        <f>'N TRIBUTARIO'!V48</f>
        <v>CONCEPCION QUEZALTEPEQUE -0406-SUR</v>
      </c>
      <c r="X7" s="17" t="str">
        <f>'N TRIBUTARIO'!W48</f>
        <v>0406-041079-001-9</v>
      </c>
      <c r="Y7" s="17" t="str">
        <f>'N TRIBUTARIO'!X48</f>
        <v>CONCEPCION QUEZALTEPEQUE  SUR</v>
      </c>
      <c r="Z7" s="17" t="str">
        <f>'N TRIBUTARIO'!Y48</f>
        <v>0406-041079-001-9 CONCEPCION QUEZALTEPEQUE  SUR</v>
      </c>
      <c r="AA7" s="17" t="str">
        <f>'N TRIBUTARIO'!Z48</f>
        <v>0406 CONCEPCION QUEZALTEPEQUE -SUR</v>
      </c>
      <c r="AB7" s="17">
        <f>'N TRIBUTARIO'!AA48</f>
        <v>0</v>
      </c>
      <c r="AC7" s="17">
        <f>'N TRIBUTARIO'!AB48</f>
        <v>0</v>
      </c>
      <c r="AD7" s="17">
        <f>'N TRIBUTARIO'!AC48</f>
        <v>0</v>
      </c>
    </row>
    <row r="8" spans="1:30" ht="19" customHeight="1" x14ac:dyDescent="0.4">
      <c r="A8" s="17">
        <f>'N TRIBUTARIO'!A49</f>
        <v>0</v>
      </c>
      <c r="B8" s="17" t="str">
        <f>'N TRIBUTARIO'!B49</f>
        <v>01</v>
      </c>
      <c r="C8" s="17" t="str">
        <f>'N TRIBUTARIO'!C49</f>
        <v>06</v>
      </c>
      <c r="D8" s="17" t="str">
        <f>'N TRIBUTARIO'!D49</f>
        <v>11</v>
      </c>
      <c r="E8" s="17" t="str">
        <f>'N TRIBUTARIO'!E49</f>
        <v>001</v>
      </c>
      <c r="F8" s="17">
        <f>'N TRIBUTARIO'!F49</f>
        <v>6</v>
      </c>
      <c r="G8" s="17">
        <f>'N TRIBUTARIO'!G49</f>
        <v>48</v>
      </c>
      <c r="H8" s="17" t="str">
        <f>'N TRIBUTARIO'!H49</f>
        <v>0407</v>
      </c>
      <c r="I8" s="17">
        <f>'N TRIBUTARIO'!I49</f>
        <v>4</v>
      </c>
      <c r="J8" s="17" t="s">
        <v>725</v>
      </c>
      <c r="K8" s="17" t="str">
        <f>'N TRIBUTARIO'!J49</f>
        <v>CHALATENANGO</v>
      </c>
      <c r="L8" s="17" t="str">
        <f>'N TRIBUTARIO'!K49</f>
        <v>SUR</v>
      </c>
      <c r="M8" s="17" t="str">
        <f>'N TRIBUTARIO'!L49</f>
        <v>CHALATENANGO</v>
      </c>
      <c r="N8" s="17">
        <f>'N TRIBUTARIO'!M49</f>
        <v>0</v>
      </c>
      <c r="O8" s="17">
        <f>'N TRIBUTARIO'!N49</f>
        <v>0</v>
      </c>
      <c r="P8" s="17">
        <f>'N TRIBUTARIO'!O49</f>
        <v>0</v>
      </c>
      <c r="Q8" s="17">
        <f>'N TRIBUTARIO'!P49</f>
        <v>0</v>
      </c>
      <c r="R8" s="17">
        <f>'N TRIBUTARIO'!Q49</f>
        <v>0</v>
      </c>
      <c r="S8" s="17">
        <f>'N TRIBUTARIO'!R49</f>
        <v>1</v>
      </c>
      <c r="T8" s="17">
        <f>'N TRIBUTARIO'!S49</f>
        <v>0</v>
      </c>
      <c r="U8" s="17" t="str">
        <f>'N TRIBUTARIO'!T49</f>
        <v>-</v>
      </c>
      <c r="V8" s="17" t="str">
        <f>'N TRIBUTARIO'!U49</f>
        <v xml:space="preserve"> </v>
      </c>
      <c r="W8" s="17" t="str">
        <f>'N TRIBUTARIO'!V49</f>
        <v>CHALATENANGO-0407-SUR</v>
      </c>
      <c r="X8" s="17" t="str">
        <f>'N TRIBUTARIO'!W49</f>
        <v>0407-010611-001-6</v>
      </c>
      <c r="Y8" s="17" t="str">
        <f>'N TRIBUTARIO'!X49</f>
        <v>CHALATENANGO SUR</v>
      </c>
      <c r="Z8" s="17" t="str">
        <f>'N TRIBUTARIO'!Y49</f>
        <v>0407-010611-001-6 CHALATENANGO SUR</v>
      </c>
      <c r="AA8" s="17" t="str">
        <f>'N TRIBUTARIO'!Z49</f>
        <v>0407 CHALATENANGO-SUR</v>
      </c>
      <c r="AB8" s="17">
        <f>'N TRIBUTARIO'!AA49</f>
        <v>0</v>
      </c>
      <c r="AC8" s="17">
        <f>'N TRIBUTARIO'!AB49</f>
        <v>0</v>
      </c>
      <c r="AD8" s="17">
        <f>'N TRIBUTARIO'!AC49</f>
        <v>0</v>
      </c>
    </row>
    <row r="9" spans="1:30" ht="19" customHeight="1" x14ac:dyDescent="0.4">
      <c r="A9" s="17">
        <f>'N TRIBUTARIO'!A50</f>
        <v>0</v>
      </c>
      <c r="B9" s="17" t="str">
        <f>'N TRIBUTARIO'!B50</f>
        <v>04</v>
      </c>
      <c r="C9" s="17" t="str">
        <f>'N TRIBUTARIO'!C50</f>
        <v>10</v>
      </c>
      <c r="D9" s="17" t="str">
        <f>'N TRIBUTARIO'!D50</f>
        <v>79</v>
      </c>
      <c r="E9" s="17" t="str">
        <f>'N TRIBUTARIO'!E50</f>
        <v>001</v>
      </c>
      <c r="F9" s="17">
        <f>'N TRIBUTARIO'!F50</f>
        <v>9</v>
      </c>
      <c r="G9" s="17">
        <f>'N TRIBUTARIO'!G50</f>
        <v>49</v>
      </c>
      <c r="H9" s="17" t="str">
        <f>'N TRIBUTARIO'!H50</f>
        <v>0408</v>
      </c>
      <c r="I9" s="17">
        <f>'N TRIBUTARIO'!I50</f>
        <v>0</v>
      </c>
      <c r="J9" s="17" t="s">
        <v>725</v>
      </c>
      <c r="K9" s="17" t="str">
        <f>'N TRIBUTARIO'!J50</f>
        <v>DULCE NOMBRE DE MARIA</v>
      </c>
      <c r="L9" s="17" t="str">
        <f>'N TRIBUTARIO'!K50</f>
        <v>CENTRO</v>
      </c>
      <c r="M9" s="17" t="str">
        <f>'N TRIBUTARIO'!L50</f>
        <v>CHALATENANGO</v>
      </c>
      <c r="N9" s="17">
        <f>'N TRIBUTARIO'!M50</f>
        <v>1</v>
      </c>
      <c r="O9" s="17">
        <f>'N TRIBUTARIO'!N50</f>
        <v>0</v>
      </c>
      <c r="P9" s="17">
        <f>'N TRIBUTARIO'!O50</f>
        <v>0</v>
      </c>
      <c r="Q9" s="17">
        <f>'N TRIBUTARIO'!P50</f>
        <v>0</v>
      </c>
      <c r="R9" s="17">
        <f>'N TRIBUTARIO'!Q50</f>
        <v>0</v>
      </c>
      <c r="S9" s="17">
        <f>'N TRIBUTARIO'!R50</f>
        <v>0</v>
      </c>
      <c r="T9" s="17">
        <f>'N TRIBUTARIO'!S50</f>
        <v>0</v>
      </c>
      <c r="U9" s="17" t="str">
        <f>'N TRIBUTARIO'!T50</f>
        <v>-</v>
      </c>
      <c r="V9" s="17" t="str">
        <f>'N TRIBUTARIO'!U50</f>
        <v xml:space="preserve"> </v>
      </c>
      <c r="W9" s="17" t="str">
        <f>'N TRIBUTARIO'!V50</f>
        <v>DULCE NOMBRE DE MARIA-0408-CENTRO</v>
      </c>
      <c r="X9" s="17" t="str">
        <f>'N TRIBUTARIO'!W50</f>
        <v>0408-041079-001-9</v>
      </c>
      <c r="Y9" s="17" t="str">
        <f>'N TRIBUTARIO'!X50</f>
        <v>DULCE NOMBRE DE MARIA CENTRO</v>
      </c>
      <c r="Z9" s="17" t="str">
        <f>'N TRIBUTARIO'!Y50</f>
        <v>0408-041079-001-9 DULCE NOMBRE DE MARIA CENTRO</v>
      </c>
      <c r="AA9" s="17" t="str">
        <f>'N TRIBUTARIO'!Z50</f>
        <v>0408 DULCE NOMBRE DE MARIA-CENTRO</v>
      </c>
      <c r="AB9" s="17">
        <f>'N TRIBUTARIO'!AA50</f>
        <v>0</v>
      </c>
      <c r="AC9" s="17">
        <f>'N TRIBUTARIO'!AB50</f>
        <v>0</v>
      </c>
      <c r="AD9" s="17">
        <f>'N TRIBUTARIO'!AC50</f>
        <v>0</v>
      </c>
    </row>
    <row r="10" spans="1:30" ht="19" customHeight="1" x14ac:dyDescent="0.4">
      <c r="A10" s="17">
        <f>'N TRIBUTARIO'!A51</f>
        <v>0</v>
      </c>
      <c r="B10" s="17" t="str">
        <f>'N TRIBUTARIO'!B51</f>
        <v>04</v>
      </c>
      <c r="C10" s="17" t="str">
        <f>'N TRIBUTARIO'!C51</f>
        <v>10</v>
      </c>
      <c r="D10" s="17" t="str">
        <f>'N TRIBUTARIO'!D51</f>
        <v>79</v>
      </c>
      <c r="E10" s="17" t="str">
        <f>'N TRIBUTARIO'!E51</f>
        <v>001</v>
      </c>
      <c r="F10" s="17">
        <f>'N TRIBUTARIO'!F51</f>
        <v>9</v>
      </c>
      <c r="G10" s="17">
        <f>'N TRIBUTARIO'!G51</f>
        <v>50</v>
      </c>
      <c r="H10" s="17" t="str">
        <f>'N TRIBUTARIO'!H51</f>
        <v>0409</v>
      </c>
      <c r="I10" s="17">
        <f>'N TRIBUTARIO'!I51</f>
        <v>0</v>
      </c>
      <c r="J10" s="17" t="s">
        <v>725</v>
      </c>
      <c r="K10" s="17" t="str">
        <f>'N TRIBUTARIO'!J51</f>
        <v>EL CARRIZAL</v>
      </c>
      <c r="L10" s="17" t="str">
        <f>'N TRIBUTARIO'!K51</f>
        <v>SUR</v>
      </c>
      <c r="M10" s="17" t="str">
        <f>'N TRIBUTARIO'!L51</f>
        <v>CHALATENANGO</v>
      </c>
      <c r="N10" s="17">
        <f>'N TRIBUTARIO'!M51</f>
        <v>0</v>
      </c>
      <c r="O10" s="17">
        <f>'N TRIBUTARIO'!N51</f>
        <v>0</v>
      </c>
      <c r="P10" s="17">
        <f>'N TRIBUTARIO'!O51</f>
        <v>0</v>
      </c>
      <c r="Q10" s="17">
        <f>'N TRIBUTARIO'!P51</f>
        <v>0</v>
      </c>
      <c r="R10" s="17">
        <f>'N TRIBUTARIO'!Q51</f>
        <v>0</v>
      </c>
      <c r="S10" s="17">
        <f>'N TRIBUTARIO'!R51</f>
        <v>1</v>
      </c>
      <c r="T10" s="17">
        <f>'N TRIBUTARIO'!S51</f>
        <v>0</v>
      </c>
      <c r="U10" s="17" t="str">
        <f>'N TRIBUTARIO'!T51</f>
        <v>-</v>
      </c>
      <c r="V10" s="17" t="str">
        <f>'N TRIBUTARIO'!U51</f>
        <v xml:space="preserve"> </v>
      </c>
      <c r="W10" s="17" t="str">
        <f>'N TRIBUTARIO'!V51</f>
        <v>EL CARRIZAL-0409-SUR</v>
      </c>
      <c r="X10" s="17" t="str">
        <f>'N TRIBUTARIO'!W51</f>
        <v>0409-041079-001-9</v>
      </c>
      <c r="Y10" s="17" t="str">
        <f>'N TRIBUTARIO'!X51</f>
        <v>EL CARRIZAL SUR</v>
      </c>
      <c r="Z10" s="17" t="str">
        <f>'N TRIBUTARIO'!Y51</f>
        <v>0409-041079-001-9 EL CARRIZAL SUR</v>
      </c>
      <c r="AA10" s="17" t="str">
        <f>'N TRIBUTARIO'!Z51</f>
        <v>0409 EL CARRIZAL-SUR</v>
      </c>
      <c r="AB10" s="17">
        <f>'N TRIBUTARIO'!AA51</f>
        <v>0</v>
      </c>
      <c r="AC10" s="17">
        <f>'N TRIBUTARIO'!AB51</f>
        <v>0</v>
      </c>
      <c r="AD10" s="17">
        <f>'N TRIBUTARIO'!AC51</f>
        <v>0</v>
      </c>
    </row>
    <row r="11" spans="1:30" ht="19" customHeight="1" x14ac:dyDescent="0.4">
      <c r="A11" s="17">
        <f>'N TRIBUTARIO'!A52</f>
        <v>0</v>
      </c>
      <c r="B11" s="17" t="str">
        <f>'N TRIBUTARIO'!B52</f>
        <v>04</v>
      </c>
      <c r="C11" s="17" t="str">
        <f>'N TRIBUTARIO'!C52</f>
        <v>10</v>
      </c>
      <c r="D11" s="17" t="str">
        <f>'N TRIBUTARIO'!D52</f>
        <v>79</v>
      </c>
      <c r="E11" s="17" t="str">
        <f>'N TRIBUTARIO'!E52</f>
        <v>001</v>
      </c>
      <c r="F11" s="17">
        <f>'N TRIBUTARIO'!F52</f>
        <v>0</v>
      </c>
      <c r="G11" s="17">
        <f>'N TRIBUTARIO'!G52</f>
        <v>51</v>
      </c>
      <c r="H11" s="17" t="str">
        <f>'N TRIBUTARIO'!H52</f>
        <v>0410</v>
      </c>
      <c r="I11" s="17">
        <f>'N TRIBUTARIO'!I52</f>
        <v>0</v>
      </c>
      <c r="J11" s="17" t="s">
        <v>725</v>
      </c>
      <c r="K11" s="17" t="str">
        <f>'N TRIBUTARIO'!J52</f>
        <v>EL PARAISO</v>
      </c>
      <c r="L11" s="17" t="str">
        <f>'N TRIBUTARIO'!K52</f>
        <v>CENTRO</v>
      </c>
      <c r="M11" s="17" t="str">
        <f>'N TRIBUTARIO'!L52</f>
        <v>CHALATENANGO</v>
      </c>
      <c r="N11" s="17">
        <f>'N TRIBUTARIO'!M52</f>
        <v>1</v>
      </c>
      <c r="O11" s="17">
        <f>'N TRIBUTARIO'!N52</f>
        <v>0</v>
      </c>
      <c r="P11" s="17">
        <f>'N TRIBUTARIO'!O52</f>
        <v>0</v>
      </c>
      <c r="Q11" s="17">
        <f>'N TRIBUTARIO'!P52</f>
        <v>0</v>
      </c>
      <c r="R11" s="17">
        <f>'N TRIBUTARIO'!Q52</f>
        <v>0</v>
      </c>
      <c r="S11" s="17">
        <f>'N TRIBUTARIO'!R52</f>
        <v>0</v>
      </c>
      <c r="T11" s="17">
        <f>'N TRIBUTARIO'!S52</f>
        <v>0</v>
      </c>
      <c r="U11" s="17" t="str">
        <f>'N TRIBUTARIO'!T52</f>
        <v>-</v>
      </c>
      <c r="V11" s="17" t="str">
        <f>'N TRIBUTARIO'!U52</f>
        <v xml:space="preserve"> </v>
      </c>
      <c r="W11" s="17" t="str">
        <f>'N TRIBUTARIO'!V52</f>
        <v>EL PARAISO-0410-CENTRO</v>
      </c>
      <c r="X11" s="17" t="str">
        <f>'N TRIBUTARIO'!W52</f>
        <v>0410-041079-001-0</v>
      </c>
      <c r="Y11" s="17" t="str">
        <f>'N TRIBUTARIO'!X52</f>
        <v>EL PARAISO CENTRO</v>
      </c>
      <c r="Z11" s="17" t="str">
        <f>'N TRIBUTARIO'!Y52</f>
        <v>0410-041079-001-0 EL PARAISO CENTRO</v>
      </c>
      <c r="AA11" s="17" t="str">
        <f>'N TRIBUTARIO'!Z52</f>
        <v>0410 EL PARAISO-CENTRO</v>
      </c>
      <c r="AB11" s="17">
        <f>'N TRIBUTARIO'!AA52</f>
        <v>0</v>
      </c>
      <c r="AC11" s="17">
        <f>'N TRIBUTARIO'!AB52</f>
        <v>0</v>
      </c>
      <c r="AD11" s="17">
        <f>'N TRIBUTARIO'!AC52</f>
        <v>0</v>
      </c>
    </row>
    <row r="12" spans="1:30" ht="19" customHeight="1" x14ac:dyDescent="0.4">
      <c r="A12" s="17">
        <f>'N TRIBUTARIO'!A53</f>
        <v>0</v>
      </c>
      <c r="B12" s="17" t="str">
        <f>'N TRIBUTARIO'!B53</f>
        <v>04</v>
      </c>
      <c r="C12" s="17" t="str">
        <f>'N TRIBUTARIO'!C53</f>
        <v>10</v>
      </c>
      <c r="D12" s="17" t="str">
        <f>'N TRIBUTARIO'!D53</f>
        <v>79</v>
      </c>
      <c r="E12" s="17" t="str">
        <f>'N TRIBUTARIO'!E53</f>
        <v>001</v>
      </c>
      <c r="F12" s="17">
        <f>'N TRIBUTARIO'!F53</f>
        <v>0</v>
      </c>
      <c r="G12" s="17">
        <f>'N TRIBUTARIO'!G53</f>
        <v>52</v>
      </c>
      <c r="H12" s="17" t="str">
        <f>'N TRIBUTARIO'!H53</f>
        <v>0411</v>
      </c>
      <c r="I12" s="17">
        <f>'N TRIBUTARIO'!I53</f>
        <v>0</v>
      </c>
      <c r="J12" s="17" t="s">
        <v>725</v>
      </c>
      <c r="K12" s="17" t="str">
        <f>'N TRIBUTARIO'!J53</f>
        <v>LA LAGUNA</v>
      </c>
      <c r="L12" s="17" t="str">
        <f>'N TRIBUTARIO'!K53</f>
        <v>SUR</v>
      </c>
      <c r="M12" s="17" t="str">
        <f>'N TRIBUTARIO'!L53</f>
        <v>CHALATENANGO</v>
      </c>
      <c r="N12" s="17">
        <f>'N TRIBUTARIO'!M53</f>
        <v>0</v>
      </c>
      <c r="O12" s="17">
        <f>'N TRIBUTARIO'!N53</f>
        <v>0</v>
      </c>
      <c r="P12" s="17">
        <f>'N TRIBUTARIO'!O53</f>
        <v>0</v>
      </c>
      <c r="Q12" s="17">
        <f>'N TRIBUTARIO'!P53</f>
        <v>0</v>
      </c>
      <c r="R12" s="17">
        <f>'N TRIBUTARIO'!Q53</f>
        <v>0</v>
      </c>
      <c r="S12" s="17">
        <f>'N TRIBUTARIO'!R53</f>
        <v>1</v>
      </c>
      <c r="T12" s="17">
        <f>'N TRIBUTARIO'!S53</f>
        <v>0</v>
      </c>
      <c r="U12" s="17" t="str">
        <f>'N TRIBUTARIO'!T53</f>
        <v>-</v>
      </c>
      <c r="V12" s="17" t="str">
        <f>'N TRIBUTARIO'!U53</f>
        <v xml:space="preserve"> </v>
      </c>
      <c r="W12" s="17" t="str">
        <f>'N TRIBUTARIO'!V53</f>
        <v>LA LAGUNA-0411-SUR</v>
      </c>
      <c r="X12" s="17" t="str">
        <f>'N TRIBUTARIO'!W53</f>
        <v>0411-041079-001-0</v>
      </c>
      <c r="Y12" s="17" t="str">
        <f>'N TRIBUTARIO'!X53</f>
        <v>LA LAGUNA SUR</v>
      </c>
      <c r="Z12" s="17" t="str">
        <f>'N TRIBUTARIO'!Y53</f>
        <v>0411-041079-001-0 LA LAGUNA SUR</v>
      </c>
      <c r="AA12" s="17" t="str">
        <f>'N TRIBUTARIO'!Z53</f>
        <v>0411 LA LAGUNA-SUR</v>
      </c>
      <c r="AB12" s="17">
        <f>'N TRIBUTARIO'!AA53</f>
        <v>0</v>
      </c>
      <c r="AC12" s="17">
        <f>'N TRIBUTARIO'!AB53</f>
        <v>0</v>
      </c>
      <c r="AD12" s="17">
        <f>'N TRIBUTARIO'!AC53</f>
        <v>0</v>
      </c>
    </row>
    <row r="13" spans="1:30" ht="19" customHeight="1" x14ac:dyDescent="0.4">
      <c r="A13" s="17">
        <f>'N TRIBUTARIO'!A54</f>
        <v>0</v>
      </c>
      <c r="B13" s="17" t="str">
        <f>'N TRIBUTARIO'!B54</f>
        <v>04</v>
      </c>
      <c r="C13" s="17" t="str">
        <f>'N TRIBUTARIO'!C54</f>
        <v>10</v>
      </c>
      <c r="D13" s="17" t="str">
        <f>'N TRIBUTARIO'!D54</f>
        <v>79</v>
      </c>
      <c r="E13" s="17" t="str">
        <f>'N TRIBUTARIO'!E54</f>
        <v>001</v>
      </c>
      <c r="F13" s="17">
        <f>'N TRIBUTARIO'!F54</f>
        <v>0</v>
      </c>
      <c r="G13" s="17">
        <f>'N TRIBUTARIO'!G54</f>
        <v>53</v>
      </c>
      <c r="H13" s="17" t="str">
        <f>'N TRIBUTARIO'!H54</f>
        <v>0412</v>
      </c>
      <c r="I13" s="17">
        <f>'N TRIBUTARIO'!I54</f>
        <v>0</v>
      </c>
      <c r="J13" s="17" t="s">
        <v>725</v>
      </c>
      <c r="K13" s="17" t="str">
        <f>'N TRIBUTARIO'!J54</f>
        <v>LA PALMA</v>
      </c>
      <c r="L13" s="17" t="str">
        <f>'N TRIBUTARIO'!K54</f>
        <v>NORTE</v>
      </c>
      <c r="M13" s="17" t="str">
        <f>'N TRIBUTARIO'!L54</f>
        <v>CHALATENANGO</v>
      </c>
      <c r="N13" s="17">
        <f>'N TRIBUTARIO'!M54</f>
        <v>0</v>
      </c>
      <c r="O13" s="17">
        <f>'N TRIBUTARIO'!N54</f>
        <v>0</v>
      </c>
      <c r="P13" s="17">
        <f>'N TRIBUTARIO'!O54</f>
        <v>0</v>
      </c>
      <c r="Q13" s="17">
        <f>'N TRIBUTARIO'!P54</f>
        <v>1</v>
      </c>
      <c r="R13" s="17">
        <f>'N TRIBUTARIO'!Q54</f>
        <v>0</v>
      </c>
      <c r="S13" s="17">
        <f>'N TRIBUTARIO'!R54</f>
        <v>0</v>
      </c>
      <c r="T13" s="17">
        <f>'N TRIBUTARIO'!S54</f>
        <v>0</v>
      </c>
      <c r="U13" s="17" t="str">
        <f>'N TRIBUTARIO'!T54</f>
        <v>-</v>
      </c>
      <c r="V13" s="17" t="str">
        <f>'N TRIBUTARIO'!U54</f>
        <v xml:space="preserve"> </v>
      </c>
      <c r="W13" s="17" t="str">
        <f>'N TRIBUTARIO'!V54</f>
        <v>LA PALMA-0412-NORTE</v>
      </c>
      <c r="X13" s="17" t="str">
        <f>'N TRIBUTARIO'!W54</f>
        <v>0412-041079-001-0</v>
      </c>
      <c r="Y13" s="17" t="str">
        <f>'N TRIBUTARIO'!X54</f>
        <v>LA PALMA NORTE</v>
      </c>
      <c r="Z13" s="17" t="str">
        <f>'N TRIBUTARIO'!Y54</f>
        <v>0412-041079-001-0 LA PALMA NORTE</v>
      </c>
      <c r="AA13" s="17" t="str">
        <f>'N TRIBUTARIO'!Z54</f>
        <v>0412 LA PALMA-NORTE</v>
      </c>
      <c r="AB13" s="17">
        <f>'N TRIBUTARIO'!AA54</f>
        <v>0</v>
      </c>
      <c r="AC13" s="17">
        <f>'N TRIBUTARIO'!AB54</f>
        <v>0</v>
      </c>
      <c r="AD13" s="17">
        <f>'N TRIBUTARIO'!AC54</f>
        <v>0</v>
      </c>
    </row>
    <row r="14" spans="1:30" ht="19" customHeight="1" x14ac:dyDescent="0.4">
      <c r="A14" s="17">
        <f>'N TRIBUTARIO'!A55</f>
        <v>0</v>
      </c>
      <c r="B14" s="17" t="str">
        <f>'N TRIBUTARIO'!B55</f>
        <v>24</v>
      </c>
      <c r="C14" s="17" t="str">
        <f>'N TRIBUTARIO'!C55</f>
        <v>06</v>
      </c>
      <c r="D14" s="17" t="str">
        <f>'N TRIBUTARIO'!D55</f>
        <v>30</v>
      </c>
      <c r="E14" s="17" t="str">
        <f>'N TRIBUTARIO'!E55</f>
        <v>001</v>
      </c>
      <c r="F14" s="17">
        <f>'N TRIBUTARIO'!F55</f>
        <v>8</v>
      </c>
      <c r="G14" s="17">
        <f>'N TRIBUTARIO'!G55</f>
        <v>54</v>
      </c>
      <c r="H14" s="17" t="str">
        <f>'N TRIBUTARIO'!H55</f>
        <v>0413</v>
      </c>
      <c r="I14" s="17">
        <f>'N TRIBUTARIO'!I55</f>
        <v>0</v>
      </c>
      <c r="J14" s="17" t="s">
        <v>725</v>
      </c>
      <c r="K14" s="17" t="str">
        <f>'N TRIBUTARIO'!J55</f>
        <v>LA REINA</v>
      </c>
      <c r="L14" s="17" t="str">
        <f>'N TRIBUTARIO'!K55</f>
        <v>CENTRO</v>
      </c>
      <c r="M14" s="17" t="str">
        <f>'N TRIBUTARIO'!L55</f>
        <v>CHALATENANGO</v>
      </c>
      <c r="N14" s="17">
        <f>'N TRIBUTARIO'!M55</f>
        <v>1</v>
      </c>
      <c r="O14" s="17">
        <f>'N TRIBUTARIO'!N55</f>
        <v>0</v>
      </c>
      <c r="P14" s="17">
        <f>'N TRIBUTARIO'!O55</f>
        <v>0</v>
      </c>
      <c r="Q14" s="17">
        <f>'N TRIBUTARIO'!P55</f>
        <v>0</v>
      </c>
      <c r="R14" s="17">
        <f>'N TRIBUTARIO'!Q55</f>
        <v>0</v>
      </c>
      <c r="S14" s="17">
        <f>'N TRIBUTARIO'!R55</f>
        <v>0</v>
      </c>
      <c r="T14" s="17">
        <f>'N TRIBUTARIO'!S55</f>
        <v>0</v>
      </c>
      <c r="U14" s="17" t="str">
        <f>'N TRIBUTARIO'!T55</f>
        <v>-</v>
      </c>
      <c r="V14" s="17" t="str">
        <f>'N TRIBUTARIO'!U55</f>
        <v xml:space="preserve"> </v>
      </c>
      <c r="W14" s="17" t="str">
        <f>'N TRIBUTARIO'!V55</f>
        <v>LA REINA-0413-CENTRO</v>
      </c>
      <c r="X14" s="17" t="str">
        <f>'N TRIBUTARIO'!W55</f>
        <v>0413-240630-001-8</v>
      </c>
      <c r="Y14" s="17" t="str">
        <f>'N TRIBUTARIO'!X55</f>
        <v>LA REINA CENTRO</v>
      </c>
      <c r="Z14" s="17" t="str">
        <f>'N TRIBUTARIO'!Y55</f>
        <v>0413-240630-001-8 LA REINA CENTRO</v>
      </c>
      <c r="AA14" s="17" t="str">
        <f>'N TRIBUTARIO'!Z55</f>
        <v>0413 LA REINA-CENTRO</v>
      </c>
      <c r="AB14" s="17">
        <f>'N TRIBUTARIO'!AA55</f>
        <v>0</v>
      </c>
      <c r="AC14" s="17">
        <f>'N TRIBUTARIO'!AB55</f>
        <v>0</v>
      </c>
      <c r="AD14" s="17">
        <f>'N TRIBUTARIO'!AC55</f>
        <v>0</v>
      </c>
    </row>
    <row r="15" spans="1:30" ht="19" customHeight="1" x14ac:dyDescent="0.4">
      <c r="A15" s="17">
        <f>'N TRIBUTARIO'!A56</f>
        <v>0</v>
      </c>
      <c r="B15" s="17" t="str">
        <f>'N TRIBUTARIO'!B56</f>
        <v>04</v>
      </c>
      <c r="C15" s="17" t="str">
        <f>'N TRIBUTARIO'!C56</f>
        <v>10</v>
      </c>
      <c r="D15" s="17" t="str">
        <f>'N TRIBUTARIO'!D56</f>
        <v>79</v>
      </c>
      <c r="E15" s="17" t="str">
        <f>'N TRIBUTARIO'!E56</f>
        <v>001</v>
      </c>
      <c r="F15" s="17">
        <f>'N TRIBUTARIO'!F56</f>
        <v>0</v>
      </c>
      <c r="G15" s="17">
        <f>'N TRIBUTARIO'!G56</f>
        <v>55</v>
      </c>
      <c r="H15" s="17" t="str">
        <f>'N TRIBUTARIO'!H56</f>
        <v>0414</v>
      </c>
      <c r="I15" s="17">
        <f>'N TRIBUTARIO'!I56</f>
        <v>0</v>
      </c>
      <c r="J15" s="17" t="s">
        <v>725</v>
      </c>
      <c r="K15" s="17" t="str">
        <f>'N TRIBUTARIO'!J56</f>
        <v>LAS VUELTAS</v>
      </c>
      <c r="L15" s="17" t="str">
        <f>'N TRIBUTARIO'!K56</f>
        <v>SUR</v>
      </c>
      <c r="M15" s="17" t="str">
        <f>'N TRIBUTARIO'!L56</f>
        <v>CHALATENANGO</v>
      </c>
      <c r="N15" s="17">
        <f>'N TRIBUTARIO'!M56</f>
        <v>0</v>
      </c>
      <c r="O15" s="17">
        <f>'N TRIBUTARIO'!N56</f>
        <v>0</v>
      </c>
      <c r="P15" s="17">
        <f>'N TRIBUTARIO'!O56</f>
        <v>0</v>
      </c>
      <c r="Q15" s="17">
        <f>'N TRIBUTARIO'!P56</f>
        <v>0</v>
      </c>
      <c r="R15" s="17">
        <f>'N TRIBUTARIO'!Q56</f>
        <v>0</v>
      </c>
      <c r="S15" s="17">
        <f>'N TRIBUTARIO'!R56</f>
        <v>1</v>
      </c>
      <c r="T15" s="17">
        <f>'N TRIBUTARIO'!S56</f>
        <v>0</v>
      </c>
      <c r="U15" s="17" t="str">
        <f>'N TRIBUTARIO'!T56</f>
        <v>-</v>
      </c>
      <c r="V15" s="17" t="str">
        <f>'N TRIBUTARIO'!U56</f>
        <v xml:space="preserve"> </v>
      </c>
      <c r="W15" s="17" t="str">
        <f>'N TRIBUTARIO'!V56</f>
        <v>LAS VUELTAS-0414-SUR</v>
      </c>
      <c r="X15" s="17" t="str">
        <f>'N TRIBUTARIO'!W56</f>
        <v>0414-041079-001-0</v>
      </c>
      <c r="Y15" s="17" t="str">
        <f>'N TRIBUTARIO'!X56</f>
        <v>LAS VUELTAS SUR</v>
      </c>
      <c r="Z15" s="17" t="str">
        <f>'N TRIBUTARIO'!Y56</f>
        <v>0414-041079-001-0 LAS VUELTAS SUR</v>
      </c>
      <c r="AA15" s="17" t="str">
        <f>'N TRIBUTARIO'!Z56</f>
        <v>0414 LAS VUELTAS-SUR</v>
      </c>
      <c r="AB15" s="17">
        <f>'N TRIBUTARIO'!AA56</f>
        <v>0</v>
      </c>
      <c r="AC15" s="17">
        <f>'N TRIBUTARIO'!AB56</f>
        <v>0</v>
      </c>
      <c r="AD15" s="17">
        <f>'N TRIBUTARIO'!AC56</f>
        <v>0</v>
      </c>
    </row>
    <row r="16" spans="1:30" ht="19" customHeight="1" x14ac:dyDescent="0.4">
      <c r="A16" s="17">
        <f>'N TRIBUTARIO'!A57</f>
        <v>0</v>
      </c>
      <c r="B16" s="17" t="str">
        <f>'N TRIBUTARIO'!B57</f>
        <v>04</v>
      </c>
      <c r="C16" s="17" t="str">
        <f>'N TRIBUTARIO'!C57</f>
        <v>10</v>
      </c>
      <c r="D16" s="17" t="str">
        <f>'N TRIBUTARIO'!D57</f>
        <v>79</v>
      </c>
      <c r="E16" s="17" t="str">
        <f>'N TRIBUTARIO'!E57</f>
        <v>001</v>
      </c>
      <c r="F16" s="17">
        <f>'N TRIBUTARIO'!F57</f>
        <v>0</v>
      </c>
      <c r="G16" s="17">
        <f>'N TRIBUTARIO'!G57</f>
        <v>56</v>
      </c>
      <c r="H16" s="17" t="str">
        <f>'N TRIBUTARIO'!H57</f>
        <v>0415</v>
      </c>
      <c r="I16" s="17">
        <f>'N TRIBUTARIO'!I57</f>
        <v>0</v>
      </c>
      <c r="J16" s="17" t="s">
        <v>725</v>
      </c>
      <c r="K16" s="17" t="str">
        <f>'N TRIBUTARIO'!J57</f>
        <v>NOMBRE DE JESUS</v>
      </c>
      <c r="L16" s="17" t="str">
        <f>'N TRIBUTARIO'!K57</f>
        <v>SUR</v>
      </c>
      <c r="M16" s="17" t="str">
        <f>'N TRIBUTARIO'!L57</f>
        <v>CHALATENANGO</v>
      </c>
      <c r="N16" s="17">
        <f>'N TRIBUTARIO'!M57</f>
        <v>0</v>
      </c>
      <c r="O16" s="17">
        <f>'N TRIBUTARIO'!N57</f>
        <v>0</v>
      </c>
      <c r="P16" s="17">
        <f>'N TRIBUTARIO'!O57</f>
        <v>0</v>
      </c>
      <c r="Q16" s="17">
        <f>'N TRIBUTARIO'!P57</f>
        <v>0</v>
      </c>
      <c r="R16" s="17">
        <f>'N TRIBUTARIO'!Q57</f>
        <v>0</v>
      </c>
      <c r="S16" s="17">
        <f>'N TRIBUTARIO'!R57</f>
        <v>1</v>
      </c>
      <c r="T16" s="17">
        <f>'N TRIBUTARIO'!S57</f>
        <v>0</v>
      </c>
      <c r="U16" s="17" t="str">
        <f>'N TRIBUTARIO'!T57</f>
        <v>-</v>
      </c>
      <c r="V16" s="17" t="str">
        <f>'N TRIBUTARIO'!U57</f>
        <v xml:space="preserve"> </v>
      </c>
      <c r="W16" s="17" t="str">
        <f>'N TRIBUTARIO'!V57</f>
        <v>NOMBRE DE JESUS-0415-SUR</v>
      </c>
      <c r="X16" s="17" t="str">
        <f>'N TRIBUTARIO'!W57</f>
        <v>0415-041079-001-0</v>
      </c>
      <c r="Y16" s="17" t="str">
        <f>'N TRIBUTARIO'!X57</f>
        <v>NOMBRE DE JESUS SUR</v>
      </c>
      <c r="Z16" s="17" t="str">
        <f>'N TRIBUTARIO'!Y57</f>
        <v>0415-041079-001-0 NOMBRE DE JESUS SUR</v>
      </c>
      <c r="AA16" s="17" t="str">
        <f>'N TRIBUTARIO'!Z57</f>
        <v>0415 NOMBRE DE JESUS-SUR</v>
      </c>
      <c r="AB16" s="17">
        <f>'N TRIBUTARIO'!AA57</f>
        <v>0</v>
      </c>
      <c r="AC16" s="17">
        <f>'N TRIBUTARIO'!AB57</f>
        <v>0</v>
      </c>
      <c r="AD16" s="17">
        <f>'N TRIBUTARIO'!AC57</f>
        <v>0</v>
      </c>
    </row>
    <row r="17" spans="1:30" ht="19" customHeight="1" x14ac:dyDescent="0.4">
      <c r="A17" s="17">
        <f>'N TRIBUTARIO'!A58</f>
        <v>0</v>
      </c>
      <c r="B17" s="17" t="str">
        <f>'N TRIBUTARIO'!B58</f>
        <v>04</v>
      </c>
      <c r="C17" s="17" t="str">
        <f>'N TRIBUTARIO'!C58</f>
        <v>10</v>
      </c>
      <c r="D17" s="17" t="str">
        <f>'N TRIBUTARIO'!D58</f>
        <v>79</v>
      </c>
      <c r="E17" s="17" t="str">
        <f>'N TRIBUTARIO'!E58</f>
        <v>001</v>
      </c>
      <c r="F17" s="17">
        <f>'N TRIBUTARIO'!F58</f>
        <v>0</v>
      </c>
      <c r="G17" s="17">
        <f>'N TRIBUTARIO'!G58</f>
        <v>57</v>
      </c>
      <c r="H17" s="17" t="str">
        <f>'N TRIBUTARIO'!H58</f>
        <v>0416</v>
      </c>
      <c r="I17" s="17">
        <f>'N TRIBUTARIO'!I58</f>
        <v>0</v>
      </c>
      <c r="J17" s="17" t="s">
        <v>725</v>
      </c>
      <c r="K17" s="17" t="str">
        <f>'N TRIBUTARIO'!J58</f>
        <v>NUEVA CONCEPCION</v>
      </c>
      <c r="L17" s="17" t="str">
        <f>'N TRIBUTARIO'!K58</f>
        <v>CENTRO</v>
      </c>
      <c r="M17" s="17" t="str">
        <f>'N TRIBUTARIO'!L58</f>
        <v>CHALATENANGO</v>
      </c>
      <c r="N17" s="17">
        <f>'N TRIBUTARIO'!M58</f>
        <v>1</v>
      </c>
      <c r="O17" s="17">
        <f>'N TRIBUTARIO'!N58</f>
        <v>0</v>
      </c>
      <c r="P17" s="17">
        <f>'N TRIBUTARIO'!O58</f>
        <v>0</v>
      </c>
      <c r="Q17" s="17">
        <f>'N TRIBUTARIO'!P58</f>
        <v>0</v>
      </c>
      <c r="R17" s="17">
        <f>'N TRIBUTARIO'!Q58</f>
        <v>0</v>
      </c>
      <c r="S17" s="17">
        <f>'N TRIBUTARIO'!R58</f>
        <v>0</v>
      </c>
      <c r="T17" s="17">
        <f>'N TRIBUTARIO'!S58</f>
        <v>0</v>
      </c>
      <c r="U17" s="17" t="str">
        <f>'N TRIBUTARIO'!T58</f>
        <v>-</v>
      </c>
      <c r="V17" s="17" t="str">
        <f>'N TRIBUTARIO'!U58</f>
        <v xml:space="preserve"> </v>
      </c>
      <c r="W17" s="17" t="str">
        <f>'N TRIBUTARIO'!V58</f>
        <v>NUEVA CONCEPCION-0416-CENTRO</v>
      </c>
      <c r="X17" s="17" t="str">
        <f>'N TRIBUTARIO'!W58</f>
        <v>0416-041079-001-0</v>
      </c>
      <c r="Y17" s="17" t="str">
        <f>'N TRIBUTARIO'!X58</f>
        <v>NUEVA CONCEPCION CENTRO</v>
      </c>
      <c r="Z17" s="17" t="str">
        <f>'N TRIBUTARIO'!Y58</f>
        <v>0416-041079-001-0 NUEVA CONCEPCION CENTRO</v>
      </c>
      <c r="AA17" s="17" t="str">
        <f>'N TRIBUTARIO'!Z58</f>
        <v>0416 NUEVA CONCEPCION-CENTRO</v>
      </c>
      <c r="AB17" s="17">
        <f>'N TRIBUTARIO'!AA58</f>
        <v>0</v>
      </c>
      <c r="AC17" s="17">
        <f>'N TRIBUTARIO'!AB58</f>
        <v>0</v>
      </c>
      <c r="AD17" s="17">
        <f>'N TRIBUTARIO'!AC58</f>
        <v>0</v>
      </c>
    </row>
    <row r="18" spans="1:30" ht="19" customHeight="1" x14ac:dyDescent="0.4">
      <c r="A18" s="17">
        <f>'N TRIBUTARIO'!A59</f>
        <v>0</v>
      </c>
      <c r="B18" s="17" t="str">
        <f>'N TRIBUTARIO'!B59</f>
        <v>04</v>
      </c>
      <c r="C18" s="17" t="str">
        <f>'N TRIBUTARIO'!C59</f>
        <v>10</v>
      </c>
      <c r="D18" s="17" t="str">
        <f>'N TRIBUTARIO'!D59</f>
        <v>79</v>
      </c>
      <c r="E18" s="17" t="str">
        <f>'N TRIBUTARIO'!E59</f>
        <v>001</v>
      </c>
      <c r="F18" s="17">
        <f>'N TRIBUTARIO'!F59</f>
        <v>0</v>
      </c>
      <c r="G18" s="17">
        <f>'N TRIBUTARIO'!G59</f>
        <v>58</v>
      </c>
      <c r="H18" s="17" t="str">
        <f>'N TRIBUTARIO'!H59</f>
        <v>0417</v>
      </c>
      <c r="I18" s="17">
        <f>'N TRIBUTARIO'!I59</f>
        <v>0</v>
      </c>
      <c r="J18" s="17" t="s">
        <v>725</v>
      </c>
      <c r="K18" s="17" t="str">
        <f>'N TRIBUTARIO'!J59</f>
        <v>NUEVA TRINIDAD</v>
      </c>
      <c r="L18" s="17" t="str">
        <f>'N TRIBUTARIO'!K59</f>
        <v>SUR</v>
      </c>
      <c r="M18" s="17" t="str">
        <f>'N TRIBUTARIO'!L59</f>
        <v>CHALATENANGO</v>
      </c>
      <c r="N18" s="17">
        <f>'N TRIBUTARIO'!M59</f>
        <v>0</v>
      </c>
      <c r="O18" s="17">
        <f>'N TRIBUTARIO'!N59</f>
        <v>0</v>
      </c>
      <c r="P18" s="17">
        <f>'N TRIBUTARIO'!O59</f>
        <v>0</v>
      </c>
      <c r="Q18" s="17">
        <f>'N TRIBUTARIO'!P59</f>
        <v>0</v>
      </c>
      <c r="R18" s="17">
        <f>'N TRIBUTARIO'!Q59</f>
        <v>0</v>
      </c>
      <c r="S18" s="17">
        <f>'N TRIBUTARIO'!R59</f>
        <v>1</v>
      </c>
      <c r="T18" s="17">
        <f>'N TRIBUTARIO'!S59</f>
        <v>0</v>
      </c>
      <c r="U18" s="17" t="str">
        <f>'N TRIBUTARIO'!T59</f>
        <v>-</v>
      </c>
      <c r="V18" s="17" t="str">
        <f>'N TRIBUTARIO'!U59</f>
        <v xml:space="preserve"> </v>
      </c>
      <c r="W18" s="17" t="str">
        <f>'N TRIBUTARIO'!V59</f>
        <v>NUEVA TRINIDAD-0417-SUR</v>
      </c>
      <c r="X18" s="17" t="str">
        <f>'N TRIBUTARIO'!W59</f>
        <v>0417-041079-001-0</v>
      </c>
      <c r="Y18" s="17" t="str">
        <f>'N TRIBUTARIO'!X59</f>
        <v>NUEVA TRINIDAD SUR</v>
      </c>
      <c r="Z18" s="17" t="str">
        <f>'N TRIBUTARIO'!Y59</f>
        <v>0417-041079-001-0 NUEVA TRINIDAD SUR</v>
      </c>
      <c r="AA18" s="17" t="str">
        <f>'N TRIBUTARIO'!Z59</f>
        <v>0417 NUEVA TRINIDAD-SUR</v>
      </c>
      <c r="AB18" s="17">
        <f>'N TRIBUTARIO'!AA59</f>
        <v>0</v>
      </c>
      <c r="AC18" s="17">
        <f>'N TRIBUTARIO'!AB59</f>
        <v>0</v>
      </c>
      <c r="AD18" s="17">
        <f>'N TRIBUTARIO'!AC59</f>
        <v>0</v>
      </c>
    </row>
    <row r="19" spans="1:30" ht="19" customHeight="1" x14ac:dyDescent="0.4">
      <c r="A19" s="17">
        <f>'N TRIBUTARIO'!A60</f>
        <v>0</v>
      </c>
      <c r="B19" s="17" t="str">
        <f>'N TRIBUTARIO'!B60</f>
        <v>04</v>
      </c>
      <c r="C19" s="17" t="str">
        <f>'N TRIBUTARIO'!C60</f>
        <v>10</v>
      </c>
      <c r="D19" s="17" t="str">
        <f>'N TRIBUTARIO'!D60</f>
        <v>79</v>
      </c>
      <c r="E19" s="17" t="str">
        <f>'N TRIBUTARIO'!E60</f>
        <v>001</v>
      </c>
      <c r="F19" s="17">
        <f>'N TRIBUTARIO'!F60</f>
        <v>0</v>
      </c>
      <c r="G19" s="17">
        <f>'N TRIBUTARIO'!G60</f>
        <v>59</v>
      </c>
      <c r="H19" s="17" t="str">
        <f>'N TRIBUTARIO'!H60</f>
        <v>0418</v>
      </c>
      <c r="I19" s="17">
        <f>'N TRIBUTARIO'!I60</f>
        <v>0</v>
      </c>
      <c r="J19" s="17" t="s">
        <v>725</v>
      </c>
      <c r="K19" s="17" t="str">
        <f>'N TRIBUTARIO'!J60</f>
        <v>OJOS DE AGUA</v>
      </c>
      <c r="L19" s="17" t="str">
        <f>'N TRIBUTARIO'!K60</f>
        <v>SUR</v>
      </c>
      <c r="M19" s="17" t="str">
        <f>'N TRIBUTARIO'!L60</f>
        <v>CHALATENANGO</v>
      </c>
      <c r="N19" s="17">
        <f>'N TRIBUTARIO'!M60</f>
        <v>0</v>
      </c>
      <c r="O19" s="17">
        <f>'N TRIBUTARIO'!N60</f>
        <v>0</v>
      </c>
      <c r="P19" s="17">
        <f>'N TRIBUTARIO'!O60</f>
        <v>0</v>
      </c>
      <c r="Q19" s="17">
        <f>'N TRIBUTARIO'!P60</f>
        <v>0</v>
      </c>
      <c r="R19" s="17">
        <f>'N TRIBUTARIO'!Q60</f>
        <v>0</v>
      </c>
      <c r="S19" s="17">
        <f>'N TRIBUTARIO'!R60</f>
        <v>1</v>
      </c>
      <c r="T19" s="17">
        <f>'N TRIBUTARIO'!S60</f>
        <v>0</v>
      </c>
      <c r="U19" s="17" t="str">
        <f>'N TRIBUTARIO'!T60</f>
        <v>-</v>
      </c>
      <c r="V19" s="17" t="str">
        <f>'N TRIBUTARIO'!U60</f>
        <v xml:space="preserve"> </v>
      </c>
      <c r="W19" s="17" t="str">
        <f>'N TRIBUTARIO'!V60</f>
        <v>OJOS DE AGUA-0418-SUR</v>
      </c>
      <c r="X19" s="17" t="str">
        <f>'N TRIBUTARIO'!W60</f>
        <v>0418-041079-001-0</v>
      </c>
      <c r="Y19" s="17" t="str">
        <f>'N TRIBUTARIO'!X60</f>
        <v>OJOS DE AGUA SUR</v>
      </c>
      <c r="Z19" s="17" t="str">
        <f>'N TRIBUTARIO'!Y60</f>
        <v>0418-041079-001-0 OJOS DE AGUA SUR</v>
      </c>
      <c r="AA19" s="17" t="str">
        <f>'N TRIBUTARIO'!Z60</f>
        <v>0418 OJOS DE AGUA-SUR</v>
      </c>
      <c r="AB19" s="17">
        <f>'N TRIBUTARIO'!AA60</f>
        <v>0</v>
      </c>
      <c r="AC19" s="17">
        <f>'N TRIBUTARIO'!AB60</f>
        <v>0</v>
      </c>
      <c r="AD19" s="17">
        <f>'N TRIBUTARIO'!AC60</f>
        <v>0</v>
      </c>
    </row>
    <row r="20" spans="1:30" ht="19" customHeight="1" x14ac:dyDescent="0.4">
      <c r="A20" s="17">
        <f>'N TRIBUTARIO'!A61</f>
        <v>0</v>
      </c>
      <c r="B20" s="17" t="str">
        <f>'N TRIBUTARIO'!B61</f>
        <v>04</v>
      </c>
      <c r="C20" s="17" t="str">
        <f>'N TRIBUTARIO'!C61</f>
        <v>10</v>
      </c>
      <c r="D20" s="17" t="str">
        <f>'N TRIBUTARIO'!D61</f>
        <v>79</v>
      </c>
      <c r="E20" s="17" t="str">
        <f>'N TRIBUTARIO'!E61</f>
        <v>001</v>
      </c>
      <c r="F20" s="17">
        <f>'N TRIBUTARIO'!F61</f>
        <v>0</v>
      </c>
      <c r="G20" s="17">
        <f>'N TRIBUTARIO'!G61</f>
        <v>60</v>
      </c>
      <c r="H20" s="17" t="str">
        <f>'N TRIBUTARIO'!H61</f>
        <v>0419</v>
      </c>
      <c r="I20" s="17">
        <f>'N TRIBUTARIO'!I61</f>
        <v>0</v>
      </c>
      <c r="J20" s="17" t="s">
        <v>725</v>
      </c>
      <c r="K20" s="17" t="str">
        <f>'N TRIBUTARIO'!J61</f>
        <v>POTONICO</v>
      </c>
      <c r="L20" s="17" t="str">
        <f>'N TRIBUTARIO'!K61</f>
        <v>SUR</v>
      </c>
      <c r="M20" s="17" t="str">
        <f>'N TRIBUTARIO'!L61</f>
        <v>CHALATENANGO</v>
      </c>
      <c r="N20" s="17">
        <f>'N TRIBUTARIO'!M61</f>
        <v>0</v>
      </c>
      <c r="O20" s="17">
        <f>'N TRIBUTARIO'!N61</f>
        <v>0</v>
      </c>
      <c r="P20" s="17">
        <f>'N TRIBUTARIO'!O61</f>
        <v>0</v>
      </c>
      <c r="Q20" s="17">
        <f>'N TRIBUTARIO'!P61</f>
        <v>0</v>
      </c>
      <c r="R20" s="17">
        <f>'N TRIBUTARIO'!Q61</f>
        <v>0</v>
      </c>
      <c r="S20" s="17">
        <f>'N TRIBUTARIO'!R61</f>
        <v>1</v>
      </c>
      <c r="T20" s="17">
        <f>'N TRIBUTARIO'!S61</f>
        <v>0</v>
      </c>
      <c r="U20" s="17" t="str">
        <f>'N TRIBUTARIO'!T61</f>
        <v>-</v>
      </c>
      <c r="V20" s="17" t="str">
        <f>'N TRIBUTARIO'!U61</f>
        <v xml:space="preserve"> </v>
      </c>
      <c r="W20" s="17" t="str">
        <f>'N TRIBUTARIO'!V61</f>
        <v>POTONICO-0419-SUR</v>
      </c>
      <c r="X20" s="17" t="str">
        <f>'N TRIBUTARIO'!W61</f>
        <v>0419-041079-001-0</v>
      </c>
      <c r="Y20" s="17" t="str">
        <f>'N TRIBUTARIO'!X61</f>
        <v>POTONICO SUR</v>
      </c>
      <c r="Z20" s="17" t="str">
        <f>'N TRIBUTARIO'!Y61</f>
        <v>0419-041079-001-0 POTONICO SUR</v>
      </c>
      <c r="AA20" s="17" t="str">
        <f>'N TRIBUTARIO'!Z61</f>
        <v>0419 POTONICO-SUR</v>
      </c>
      <c r="AB20" s="17">
        <f>'N TRIBUTARIO'!AA61</f>
        <v>0</v>
      </c>
      <c r="AC20" s="17">
        <f>'N TRIBUTARIO'!AB61</f>
        <v>0</v>
      </c>
      <c r="AD20" s="17">
        <f>'N TRIBUTARIO'!AC61</f>
        <v>0</v>
      </c>
    </row>
    <row r="21" spans="1:30" ht="19" customHeight="1" x14ac:dyDescent="0.4">
      <c r="A21" s="17">
        <f>'N TRIBUTARIO'!A62</f>
        <v>0</v>
      </c>
      <c r="B21" s="17" t="str">
        <f>'N TRIBUTARIO'!B62</f>
        <v>04</v>
      </c>
      <c r="C21" s="17" t="str">
        <f>'N TRIBUTARIO'!C62</f>
        <v>10</v>
      </c>
      <c r="D21" s="17" t="str">
        <f>'N TRIBUTARIO'!D62</f>
        <v>79</v>
      </c>
      <c r="E21" s="17" t="str">
        <f>'N TRIBUTARIO'!E62</f>
        <v>001</v>
      </c>
      <c r="F21" s="17">
        <f>'N TRIBUTARIO'!F62</f>
        <v>0</v>
      </c>
      <c r="G21" s="17">
        <f>'N TRIBUTARIO'!G62</f>
        <v>61</v>
      </c>
      <c r="H21" s="17" t="str">
        <f>'N TRIBUTARIO'!H62</f>
        <v>0420</v>
      </c>
      <c r="I21" s="17">
        <f>'N TRIBUTARIO'!I62</f>
        <v>0</v>
      </c>
      <c r="J21" s="17" t="s">
        <v>725</v>
      </c>
      <c r="K21" s="17" t="str">
        <f>'N TRIBUTARIO'!J62</f>
        <v>SAN ANTONIO DE LA CRUZ</v>
      </c>
      <c r="L21" s="17" t="str">
        <f>'N TRIBUTARIO'!K62</f>
        <v>SUR</v>
      </c>
      <c r="M21" s="17" t="str">
        <f>'N TRIBUTARIO'!L62</f>
        <v>CHALATENANGO</v>
      </c>
      <c r="N21" s="17">
        <f>'N TRIBUTARIO'!M62</f>
        <v>0</v>
      </c>
      <c r="O21" s="17">
        <f>'N TRIBUTARIO'!N62</f>
        <v>0</v>
      </c>
      <c r="P21" s="17">
        <f>'N TRIBUTARIO'!O62</f>
        <v>0</v>
      </c>
      <c r="Q21" s="17">
        <f>'N TRIBUTARIO'!P62</f>
        <v>0</v>
      </c>
      <c r="R21" s="17">
        <f>'N TRIBUTARIO'!Q62</f>
        <v>0</v>
      </c>
      <c r="S21" s="17">
        <f>'N TRIBUTARIO'!R62</f>
        <v>1</v>
      </c>
      <c r="T21" s="17">
        <f>'N TRIBUTARIO'!S62</f>
        <v>0</v>
      </c>
      <c r="U21" s="17" t="str">
        <f>'N TRIBUTARIO'!T62</f>
        <v>-</v>
      </c>
      <c r="V21" s="17" t="str">
        <f>'N TRIBUTARIO'!U62</f>
        <v xml:space="preserve"> </v>
      </c>
      <c r="W21" s="17" t="str">
        <f>'N TRIBUTARIO'!V62</f>
        <v>SAN ANTONIO DE LA CRUZ-0420-SUR</v>
      </c>
      <c r="X21" s="17" t="str">
        <f>'N TRIBUTARIO'!W62</f>
        <v>0420-041079-001-0</v>
      </c>
      <c r="Y21" s="17" t="str">
        <f>'N TRIBUTARIO'!X62</f>
        <v>SAN ANTONIO DE LA CRUZ SUR</v>
      </c>
      <c r="Z21" s="17" t="str">
        <f>'N TRIBUTARIO'!Y62</f>
        <v>0420-041079-001-0 SAN ANTONIO DE LA CRUZ SUR</v>
      </c>
      <c r="AA21" s="17" t="str">
        <f>'N TRIBUTARIO'!Z62</f>
        <v>0420 SAN ANTONIO DE LA CRUZ-SUR</v>
      </c>
      <c r="AB21" s="17">
        <f>'N TRIBUTARIO'!AA62</f>
        <v>0</v>
      </c>
      <c r="AC21" s="17">
        <f>'N TRIBUTARIO'!AB62</f>
        <v>0</v>
      </c>
      <c r="AD21" s="17">
        <f>'N TRIBUTARIO'!AC62</f>
        <v>0</v>
      </c>
    </row>
    <row r="22" spans="1:30" ht="19" customHeight="1" x14ac:dyDescent="0.4">
      <c r="A22" s="17">
        <f>'N TRIBUTARIO'!A63</f>
        <v>0</v>
      </c>
      <c r="B22" s="17" t="str">
        <f>'N TRIBUTARIO'!B63</f>
        <v>04</v>
      </c>
      <c r="C22" s="17" t="str">
        <f>'N TRIBUTARIO'!C63</f>
        <v>10</v>
      </c>
      <c r="D22" s="17" t="str">
        <f>'N TRIBUTARIO'!D63</f>
        <v>79</v>
      </c>
      <c r="E22" s="17" t="str">
        <f>'N TRIBUTARIO'!E63</f>
        <v>001</v>
      </c>
      <c r="F22" s="17">
        <f>'N TRIBUTARIO'!F63</f>
        <v>0</v>
      </c>
      <c r="G22" s="17">
        <f>'N TRIBUTARIO'!G63</f>
        <v>62</v>
      </c>
      <c r="H22" s="17" t="str">
        <f>'N TRIBUTARIO'!H63</f>
        <v>0421</v>
      </c>
      <c r="I22" s="17">
        <f>'N TRIBUTARIO'!I63</f>
        <v>0</v>
      </c>
      <c r="J22" s="17" t="s">
        <v>725</v>
      </c>
      <c r="K22" s="17" t="str">
        <f>'N TRIBUTARIO'!J63</f>
        <v>SAN ANTONIO LOS RANCHOS</v>
      </c>
      <c r="L22" s="17" t="str">
        <f>'N TRIBUTARIO'!K63</f>
        <v>SUR</v>
      </c>
      <c r="M22" s="17" t="str">
        <f>'N TRIBUTARIO'!L63</f>
        <v>CHALATENANGO</v>
      </c>
      <c r="N22" s="17">
        <f>'N TRIBUTARIO'!M63</f>
        <v>0</v>
      </c>
      <c r="O22" s="17">
        <f>'N TRIBUTARIO'!N63</f>
        <v>0</v>
      </c>
      <c r="P22" s="17">
        <f>'N TRIBUTARIO'!O63</f>
        <v>0</v>
      </c>
      <c r="Q22" s="17">
        <f>'N TRIBUTARIO'!P63</f>
        <v>0</v>
      </c>
      <c r="R22" s="17">
        <f>'N TRIBUTARIO'!Q63</f>
        <v>0</v>
      </c>
      <c r="S22" s="17">
        <f>'N TRIBUTARIO'!R63</f>
        <v>1</v>
      </c>
      <c r="T22" s="17">
        <f>'N TRIBUTARIO'!S63</f>
        <v>0</v>
      </c>
      <c r="U22" s="17" t="str">
        <f>'N TRIBUTARIO'!T63</f>
        <v>-</v>
      </c>
      <c r="V22" s="17" t="str">
        <f>'N TRIBUTARIO'!U63</f>
        <v xml:space="preserve"> </v>
      </c>
      <c r="W22" s="17" t="str">
        <f>'N TRIBUTARIO'!V63</f>
        <v>SAN ANTONIO LOS RANCHOS-0421-SUR</v>
      </c>
      <c r="X22" s="17" t="str">
        <f>'N TRIBUTARIO'!W63</f>
        <v>0421-041079-001-0</v>
      </c>
      <c r="Y22" s="17" t="str">
        <f>'N TRIBUTARIO'!X63</f>
        <v>SAN ANTONIO LOS RANCHOS SUR</v>
      </c>
      <c r="Z22" s="17" t="str">
        <f>'N TRIBUTARIO'!Y63</f>
        <v>0421-041079-001-0 SAN ANTONIO LOS RANCHOS SUR</v>
      </c>
      <c r="AA22" s="17" t="str">
        <f>'N TRIBUTARIO'!Z63</f>
        <v>0421 SAN ANTONIO LOS RANCHOS-SUR</v>
      </c>
      <c r="AB22" s="17">
        <f>'N TRIBUTARIO'!AA63</f>
        <v>0</v>
      </c>
      <c r="AC22" s="17">
        <f>'N TRIBUTARIO'!AB63</f>
        <v>0</v>
      </c>
      <c r="AD22" s="17">
        <f>'N TRIBUTARIO'!AC63</f>
        <v>0</v>
      </c>
    </row>
    <row r="23" spans="1:30" ht="19" customHeight="1" x14ac:dyDescent="0.4">
      <c r="A23" s="17">
        <f>'N TRIBUTARIO'!A64</f>
        <v>0</v>
      </c>
      <c r="B23" s="17" t="str">
        <f>'N TRIBUTARIO'!B64</f>
        <v>04</v>
      </c>
      <c r="C23" s="17" t="str">
        <f>'N TRIBUTARIO'!C64</f>
        <v>10</v>
      </c>
      <c r="D23" s="17" t="str">
        <f>'N TRIBUTARIO'!D64</f>
        <v>79</v>
      </c>
      <c r="E23" s="17" t="str">
        <f>'N TRIBUTARIO'!E64</f>
        <v>001</v>
      </c>
      <c r="F23" s="17">
        <f>'N TRIBUTARIO'!F64</f>
        <v>0</v>
      </c>
      <c r="G23" s="17">
        <f>'N TRIBUTARIO'!G64</f>
        <v>63</v>
      </c>
      <c r="H23" s="17" t="str">
        <f>'N TRIBUTARIO'!H64</f>
        <v>0422</v>
      </c>
      <c r="I23" s="17">
        <f>'N TRIBUTARIO'!I64</f>
        <v>0</v>
      </c>
      <c r="J23" s="17" t="s">
        <v>725</v>
      </c>
      <c r="K23" s="17" t="str">
        <f>'N TRIBUTARIO'!J64</f>
        <v>SAN FERNANDO</v>
      </c>
      <c r="L23" s="17" t="str">
        <f>'N TRIBUTARIO'!K64</f>
        <v>CENTRO</v>
      </c>
      <c r="M23" s="17" t="str">
        <f>'N TRIBUTARIO'!L64</f>
        <v>CHALATENANGO</v>
      </c>
      <c r="N23" s="17">
        <f>'N TRIBUTARIO'!M64</f>
        <v>1</v>
      </c>
      <c r="O23" s="17">
        <f>'N TRIBUTARIO'!N64</f>
        <v>0</v>
      </c>
      <c r="P23" s="17">
        <f>'N TRIBUTARIO'!O64</f>
        <v>0</v>
      </c>
      <c r="Q23" s="17">
        <f>'N TRIBUTARIO'!P64</f>
        <v>0</v>
      </c>
      <c r="R23" s="17">
        <f>'N TRIBUTARIO'!Q64</f>
        <v>0</v>
      </c>
      <c r="S23" s="17">
        <f>'N TRIBUTARIO'!R64</f>
        <v>0</v>
      </c>
      <c r="T23" s="17">
        <f>'N TRIBUTARIO'!S64</f>
        <v>0</v>
      </c>
      <c r="U23" s="17" t="str">
        <f>'N TRIBUTARIO'!T64</f>
        <v>-</v>
      </c>
      <c r="V23" s="17" t="str">
        <f>'N TRIBUTARIO'!U64</f>
        <v xml:space="preserve"> </v>
      </c>
      <c r="W23" s="17" t="str">
        <f>'N TRIBUTARIO'!V64</f>
        <v>SAN FERNANDO-0422-CENTRO</v>
      </c>
      <c r="X23" s="17" t="str">
        <f>'N TRIBUTARIO'!W64</f>
        <v>0422-041079-001-0</v>
      </c>
      <c r="Y23" s="17" t="str">
        <f>'N TRIBUTARIO'!X64</f>
        <v>SAN FERNANDO CENTRO</v>
      </c>
      <c r="Z23" s="17" t="str">
        <f>'N TRIBUTARIO'!Y64</f>
        <v>0422-041079-001-0 SAN FERNANDO CENTRO</v>
      </c>
      <c r="AA23" s="17" t="str">
        <f>'N TRIBUTARIO'!Z64</f>
        <v>0422 SAN FERNANDO-CENTRO</v>
      </c>
      <c r="AB23" s="17">
        <f>'N TRIBUTARIO'!AA64</f>
        <v>0</v>
      </c>
      <c r="AC23" s="17">
        <f>'N TRIBUTARIO'!AB64</f>
        <v>0</v>
      </c>
      <c r="AD23" s="17">
        <f>'N TRIBUTARIO'!AC64</f>
        <v>0</v>
      </c>
    </row>
    <row r="24" spans="1:30" ht="19" customHeight="1" x14ac:dyDescent="0.4">
      <c r="A24" s="17">
        <f>'N TRIBUTARIO'!A65</f>
        <v>0</v>
      </c>
      <c r="B24" s="17" t="str">
        <f>'N TRIBUTARIO'!B65</f>
        <v>04</v>
      </c>
      <c r="C24" s="17" t="str">
        <f>'N TRIBUTARIO'!C65</f>
        <v>10</v>
      </c>
      <c r="D24" s="17" t="str">
        <f>'N TRIBUTARIO'!D65</f>
        <v>79</v>
      </c>
      <c r="E24" s="17" t="str">
        <f>'N TRIBUTARIO'!E65</f>
        <v>001</v>
      </c>
      <c r="F24" s="17">
        <f>'N TRIBUTARIO'!F65</f>
        <v>0</v>
      </c>
      <c r="G24" s="17">
        <f>'N TRIBUTARIO'!G65</f>
        <v>64</v>
      </c>
      <c r="H24" s="17" t="str">
        <f>'N TRIBUTARIO'!H65</f>
        <v>0423</v>
      </c>
      <c r="I24" s="17">
        <f>'N TRIBUTARIO'!I65</f>
        <v>0</v>
      </c>
      <c r="J24" s="17" t="s">
        <v>725</v>
      </c>
      <c r="K24" s="17" t="str">
        <f>'N TRIBUTARIO'!J65</f>
        <v>SAN FRANCISCO LEMPA</v>
      </c>
      <c r="L24" s="17" t="str">
        <f>'N TRIBUTARIO'!K65</f>
        <v>SUR</v>
      </c>
      <c r="M24" s="17" t="str">
        <f>'N TRIBUTARIO'!L65</f>
        <v>CHALATENANGO</v>
      </c>
      <c r="N24" s="17">
        <f>'N TRIBUTARIO'!M65</f>
        <v>0</v>
      </c>
      <c r="O24" s="17">
        <f>'N TRIBUTARIO'!N65</f>
        <v>0</v>
      </c>
      <c r="P24" s="17">
        <f>'N TRIBUTARIO'!O65</f>
        <v>0</v>
      </c>
      <c r="Q24" s="17">
        <f>'N TRIBUTARIO'!P65</f>
        <v>0</v>
      </c>
      <c r="R24" s="17">
        <f>'N TRIBUTARIO'!Q65</f>
        <v>0</v>
      </c>
      <c r="S24" s="17">
        <f>'N TRIBUTARIO'!R65</f>
        <v>1</v>
      </c>
      <c r="T24" s="17">
        <f>'N TRIBUTARIO'!S65</f>
        <v>0</v>
      </c>
      <c r="U24" s="17" t="str">
        <f>'N TRIBUTARIO'!T65</f>
        <v>-</v>
      </c>
      <c r="V24" s="17" t="str">
        <f>'N TRIBUTARIO'!U65</f>
        <v xml:space="preserve"> </v>
      </c>
      <c r="W24" s="17" t="str">
        <f>'N TRIBUTARIO'!V65</f>
        <v>SAN FRANCISCO LEMPA-0423-SUR</v>
      </c>
      <c r="X24" s="17" t="str">
        <f>'N TRIBUTARIO'!W65</f>
        <v>0423-041079-001-0</v>
      </c>
      <c r="Y24" s="17" t="str">
        <f>'N TRIBUTARIO'!X65</f>
        <v>SAN FRANCISCO LEMPA SUR</v>
      </c>
      <c r="Z24" s="17" t="str">
        <f>'N TRIBUTARIO'!Y65</f>
        <v>0423-041079-001-0 SAN FRANCISCO LEMPA SUR</v>
      </c>
      <c r="AA24" s="17" t="str">
        <f>'N TRIBUTARIO'!Z65</f>
        <v>0423 SAN FRANCISCO LEMPA-SUR</v>
      </c>
      <c r="AB24" s="17">
        <f>'N TRIBUTARIO'!AA65</f>
        <v>0</v>
      </c>
      <c r="AC24" s="17">
        <f>'N TRIBUTARIO'!AB65</f>
        <v>0</v>
      </c>
      <c r="AD24" s="17">
        <f>'N TRIBUTARIO'!AC65</f>
        <v>0</v>
      </c>
    </row>
    <row r="25" spans="1:30" ht="19" customHeight="1" x14ac:dyDescent="0.4">
      <c r="A25" s="17">
        <f>'N TRIBUTARIO'!A66</f>
        <v>0</v>
      </c>
      <c r="B25" s="17" t="str">
        <f>'N TRIBUTARIO'!B66</f>
        <v>04</v>
      </c>
      <c r="C25" s="17" t="str">
        <f>'N TRIBUTARIO'!C66</f>
        <v>10</v>
      </c>
      <c r="D25" s="17" t="str">
        <f>'N TRIBUTARIO'!D66</f>
        <v>79</v>
      </c>
      <c r="E25" s="17" t="str">
        <f>'N TRIBUTARIO'!E66</f>
        <v>001</v>
      </c>
      <c r="F25" s="17">
        <f>'N TRIBUTARIO'!F66</f>
        <v>0</v>
      </c>
      <c r="G25" s="17">
        <f>'N TRIBUTARIO'!G66</f>
        <v>65</v>
      </c>
      <c r="H25" s="17" t="str">
        <f>'N TRIBUTARIO'!H66</f>
        <v>0424</v>
      </c>
      <c r="I25" s="17">
        <f>'N TRIBUTARIO'!I66</f>
        <v>0</v>
      </c>
      <c r="J25" s="17" t="s">
        <v>725</v>
      </c>
      <c r="K25" s="17" t="str">
        <f>'N TRIBUTARIO'!J66</f>
        <v>SAN FRANCISCO MORAZAN</v>
      </c>
      <c r="L25" s="17" t="str">
        <f>'N TRIBUTARIO'!K66</f>
        <v>CENTRO</v>
      </c>
      <c r="M25" s="17" t="str">
        <f>'N TRIBUTARIO'!L66</f>
        <v>CHALATENANGO</v>
      </c>
      <c r="N25" s="17">
        <f>'N TRIBUTARIO'!M66</f>
        <v>1</v>
      </c>
      <c r="O25" s="17">
        <f>'N TRIBUTARIO'!N66</f>
        <v>0</v>
      </c>
      <c r="P25" s="17">
        <f>'N TRIBUTARIO'!O66</f>
        <v>0</v>
      </c>
      <c r="Q25" s="17">
        <f>'N TRIBUTARIO'!P66</f>
        <v>0</v>
      </c>
      <c r="R25" s="17">
        <f>'N TRIBUTARIO'!Q66</f>
        <v>0</v>
      </c>
      <c r="S25" s="17">
        <f>'N TRIBUTARIO'!R66</f>
        <v>0</v>
      </c>
      <c r="T25" s="17">
        <f>'N TRIBUTARIO'!S66</f>
        <v>0</v>
      </c>
      <c r="U25" s="17" t="str">
        <f>'N TRIBUTARIO'!T66</f>
        <v>-</v>
      </c>
      <c r="V25" s="17" t="str">
        <f>'N TRIBUTARIO'!U66</f>
        <v xml:space="preserve"> </v>
      </c>
      <c r="W25" s="17" t="str">
        <f>'N TRIBUTARIO'!V66</f>
        <v>SAN FRANCISCO MORAZAN-0424-CENTRO</v>
      </c>
      <c r="X25" s="17" t="str">
        <f>'N TRIBUTARIO'!W66</f>
        <v>0424-041079-001-0</v>
      </c>
      <c r="Y25" s="17" t="str">
        <f>'N TRIBUTARIO'!X66</f>
        <v>SAN FRANCISCO MORAZAN CENTRO</v>
      </c>
      <c r="Z25" s="17" t="str">
        <f>'N TRIBUTARIO'!Y66</f>
        <v>0424-041079-001-0 SAN FRANCISCO MORAZAN CENTRO</v>
      </c>
      <c r="AA25" s="17" t="str">
        <f>'N TRIBUTARIO'!Z66</f>
        <v>0424 SAN FRANCISCO MORAZAN-CENTRO</v>
      </c>
      <c r="AB25" s="17">
        <f>'N TRIBUTARIO'!AA66</f>
        <v>0</v>
      </c>
      <c r="AC25" s="17">
        <f>'N TRIBUTARIO'!AB66</f>
        <v>0</v>
      </c>
      <c r="AD25" s="17">
        <f>'N TRIBUTARIO'!AC66</f>
        <v>0</v>
      </c>
    </row>
    <row r="26" spans="1:30" ht="19" customHeight="1" x14ac:dyDescent="0.4">
      <c r="A26" s="17">
        <f>'N TRIBUTARIO'!A67</f>
        <v>0</v>
      </c>
      <c r="B26" s="17" t="str">
        <f>'N TRIBUTARIO'!B67</f>
        <v>04</v>
      </c>
      <c r="C26" s="17" t="str">
        <f>'N TRIBUTARIO'!C67</f>
        <v>10</v>
      </c>
      <c r="D26" s="17" t="str">
        <f>'N TRIBUTARIO'!D67</f>
        <v>79</v>
      </c>
      <c r="E26" s="17" t="str">
        <f>'N TRIBUTARIO'!E67</f>
        <v>001</v>
      </c>
      <c r="F26" s="17">
        <f>'N TRIBUTARIO'!F67</f>
        <v>0</v>
      </c>
      <c r="G26" s="17">
        <f>'N TRIBUTARIO'!G67</f>
        <v>66</v>
      </c>
      <c r="H26" s="17" t="str">
        <f>'N TRIBUTARIO'!H67</f>
        <v>0425</v>
      </c>
      <c r="I26" s="17">
        <f>'N TRIBUTARIO'!I67</f>
        <v>0</v>
      </c>
      <c r="J26" s="17" t="s">
        <v>725</v>
      </c>
      <c r="K26" s="17" t="str">
        <f>'N TRIBUTARIO'!J67</f>
        <v>SAN IGNACIO</v>
      </c>
      <c r="L26" s="17" t="str">
        <f>'N TRIBUTARIO'!K67</f>
        <v>NORTE</v>
      </c>
      <c r="M26" s="17" t="str">
        <f>'N TRIBUTARIO'!L67</f>
        <v>CHALATENANGO</v>
      </c>
      <c r="N26" s="17">
        <f>'N TRIBUTARIO'!M67</f>
        <v>0</v>
      </c>
      <c r="O26" s="17">
        <f>'N TRIBUTARIO'!N67</f>
        <v>0</v>
      </c>
      <c r="P26" s="17">
        <f>'N TRIBUTARIO'!O67</f>
        <v>0</v>
      </c>
      <c r="Q26" s="17">
        <f>'N TRIBUTARIO'!P67</f>
        <v>1</v>
      </c>
      <c r="R26" s="17">
        <f>'N TRIBUTARIO'!Q67</f>
        <v>0</v>
      </c>
      <c r="S26" s="17">
        <f>'N TRIBUTARIO'!R67</f>
        <v>0</v>
      </c>
      <c r="T26" s="17">
        <f>'N TRIBUTARIO'!S67</f>
        <v>0</v>
      </c>
      <c r="U26" s="17" t="str">
        <f>'N TRIBUTARIO'!T67</f>
        <v>-</v>
      </c>
      <c r="V26" s="17" t="str">
        <f>'N TRIBUTARIO'!U67</f>
        <v xml:space="preserve"> </v>
      </c>
      <c r="W26" s="17" t="str">
        <f>'N TRIBUTARIO'!V67</f>
        <v>SAN IGNACIO-0425-NORTE</v>
      </c>
      <c r="X26" s="17" t="str">
        <f>'N TRIBUTARIO'!W67</f>
        <v>0425-041079-001-0</v>
      </c>
      <c r="Y26" s="17" t="str">
        <f>'N TRIBUTARIO'!X67</f>
        <v>SAN IGNACIO NORTE</v>
      </c>
      <c r="Z26" s="17" t="str">
        <f>'N TRIBUTARIO'!Y67</f>
        <v>0425-041079-001-0 SAN IGNACIO NORTE</v>
      </c>
      <c r="AA26" s="17" t="str">
        <f>'N TRIBUTARIO'!Z67</f>
        <v>0425 SAN IGNACIO-NORTE</v>
      </c>
      <c r="AB26" s="17">
        <f>'N TRIBUTARIO'!AA67</f>
        <v>0</v>
      </c>
      <c r="AC26" s="17">
        <f>'N TRIBUTARIO'!AB67</f>
        <v>0</v>
      </c>
      <c r="AD26" s="17">
        <f>'N TRIBUTARIO'!AC67</f>
        <v>0</v>
      </c>
    </row>
    <row r="27" spans="1:30" ht="19" customHeight="1" x14ac:dyDescent="0.4">
      <c r="A27" s="17">
        <f>'N TRIBUTARIO'!A68</f>
        <v>0</v>
      </c>
      <c r="B27" s="17" t="str">
        <f>'N TRIBUTARIO'!B68</f>
        <v>04</v>
      </c>
      <c r="C27" s="17" t="str">
        <f>'N TRIBUTARIO'!C68</f>
        <v>10</v>
      </c>
      <c r="D27" s="17" t="str">
        <f>'N TRIBUTARIO'!D68</f>
        <v>79</v>
      </c>
      <c r="E27" s="17" t="str">
        <f>'N TRIBUTARIO'!E68</f>
        <v>001</v>
      </c>
      <c r="F27" s="17">
        <f>'N TRIBUTARIO'!F68</f>
        <v>0</v>
      </c>
      <c r="G27" s="17">
        <f>'N TRIBUTARIO'!G68</f>
        <v>67</v>
      </c>
      <c r="H27" s="17" t="str">
        <f>'N TRIBUTARIO'!H68</f>
        <v>0426</v>
      </c>
      <c r="I27" s="17">
        <f>'N TRIBUTARIO'!I68</f>
        <v>0</v>
      </c>
      <c r="J27" s="17" t="s">
        <v>725</v>
      </c>
      <c r="K27" s="17" t="str">
        <f>'N TRIBUTARIO'!J68</f>
        <v>SAN ISIDRO LABRADOR</v>
      </c>
      <c r="L27" s="17" t="str">
        <f>'N TRIBUTARIO'!K68</f>
        <v>SUR</v>
      </c>
      <c r="M27" s="17" t="str">
        <f>'N TRIBUTARIO'!L68</f>
        <v>CHALATENANGO</v>
      </c>
      <c r="N27" s="17">
        <f>'N TRIBUTARIO'!M68</f>
        <v>0</v>
      </c>
      <c r="O27" s="17">
        <f>'N TRIBUTARIO'!N68</f>
        <v>0</v>
      </c>
      <c r="P27" s="17">
        <f>'N TRIBUTARIO'!O68</f>
        <v>0</v>
      </c>
      <c r="Q27" s="17">
        <f>'N TRIBUTARIO'!P68</f>
        <v>0</v>
      </c>
      <c r="R27" s="17">
        <f>'N TRIBUTARIO'!Q68</f>
        <v>0</v>
      </c>
      <c r="S27" s="17">
        <f>'N TRIBUTARIO'!R68</f>
        <v>1</v>
      </c>
      <c r="T27" s="17">
        <f>'N TRIBUTARIO'!S68</f>
        <v>0</v>
      </c>
      <c r="U27" s="17" t="str">
        <f>'N TRIBUTARIO'!T68</f>
        <v>-</v>
      </c>
      <c r="V27" s="17" t="str">
        <f>'N TRIBUTARIO'!U68</f>
        <v xml:space="preserve"> </v>
      </c>
      <c r="W27" s="17" t="str">
        <f>'N TRIBUTARIO'!V68</f>
        <v>SAN ISIDRO LABRADOR-0426-SUR</v>
      </c>
      <c r="X27" s="17" t="str">
        <f>'N TRIBUTARIO'!W68</f>
        <v>0426-041079-001-0</v>
      </c>
      <c r="Y27" s="17" t="str">
        <f>'N TRIBUTARIO'!X68</f>
        <v>SAN ISIDRO LABRADOR SUR</v>
      </c>
      <c r="Z27" s="17" t="str">
        <f>'N TRIBUTARIO'!Y68</f>
        <v>0426-041079-001-0 SAN ISIDRO LABRADOR SUR</v>
      </c>
      <c r="AA27" s="17" t="str">
        <f>'N TRIBUTARIO'!Z68</f>
        <v>0426 SAN ISIDRO LABRADOR-SUR</v>
      </c>
      <c r="AB27" s="17">
        <f>'N TRIBUTARIO'!AA68</f>
        <v>0</v>
      </c>
      <c r="AC27" s="17">
        <f>'N TRIBUTARIO'!AB68</f>
        <v>0</v>
      </c>
      <c r="AD27" s="17">
        <f>'N TRIBUTARIO'!AC68</f>
        <v>0</v>
      </c>
    </row>
    <row r="28" spans="1:30" ht="19" customHeight="1" x14ac:dyDescent="0.4">
      <c r="A28" s="17">
        <f>'N TRIBUTARIO'!A69</f>
        <v>0</v>
      </c>
      <c r="B28" s="17" t="str">
        <f>'N TRIBUTARIO'!B69</f>
        <v>04</v>
      </c>
      <c r="C28" s="17" t="str">
        <f>'N TRIBUTARIO'!C69</f>
        <v>10</v>
      </c>
      <c r="D28" s="17" t="str">
        <f>'N TRIBUTARIO'!D69</f>
        <v>79</v>
      </c>
      <c r="E28" s="17" t="str">
        <f>'N TRIBUTARIO'!E69</f>
        <v>001</v>
      </c>
      <c r="F28" s="17">
        <f>'N TRIBUTARIO'!F69</f>
        <v>0</v>
      </c>
      <c r="G28" s="17">
        <f>'N TRIBUTARIO'!G69</f>
        <v>68</v>
      </c>
      <c r="H28" s="17" t="str">
        <f>'N TRIBUTARIO'!H69</f>
        <v>0427</v>
      </c>
      <c r="I28" s="17">
        <f>'N TRIBUTARIO'!I69</f>
        <v>0</v>
      </c>
      <c r="J28" s="17" t="s">
        <v>725</v>
      </c>
      <c r="K28" s="17" t="str">
        <f>'N TRIBUTARIO'!J69</f>
        <v>CANCASTE</v>
      </c>
      <c r="L28" s="17" t="str">
        <f>'N TRIBUTARIO'!K69</f>
        <v>SUR</v>
      </c>
      <c r="M28" s="17" t="str">
        <f>'N TRIBUTARIO'!L69</f>
        <v>CHALATENANGO</v>
      </c>
      <c r="N28" s="17">
        <f>'N TRIBUTARIO'!M69</f>
        <v>0</v>
      </c>
      <c r="O28" s="17">
        <f>'N TRIBUTARIO'!N69</f>
        <v>0</v>
      </c>
      <c r="P28" s="17">
        <f>'N TRIBUTARIO'!O69</f>
        <v>0</v>
      </c>
      <c r="Q28" s="17">
        <f>'N TRIBUTARIO'!P69</f>
        <v>0</v>
      </c>
      <c r="R28" s="17">
        <f>'N TRIBUTARIO'!Q69</f>
        <v>0</v>
      </c>
      <c r="S28" s="17">
        <f>'N TRIBUTARIO'!R69</f>
        <v>1</v>
      </c>
      <c r="T28" s="17">
        <f>'N TRIBUTARIO'!S69</f>
        <v>0</v>
      </c>
      <c r="U28" s="17" t="str">
        <f>'N TRIBUTARIO'!T69</f>
        <v>-</v>
      </c>
      <c r="V28" s="17" t="str">
        <f>'N TRIBUTARIO'!U69</f>
        <v xml:space="preserve"> </v>
      </c>
      <c r="W28" s="17" t="str">
        <f>'N TRIBUTARIO'!V69</f>
        <v>CANCASTE-0427-SUR</v>
      </c>
      <c r="X28" s="17" t="str">
        <f>'N TRIBUTARIO'!W69</f>
        <v>0427-041079-001-0</v>
      </c>
      <c r="Y28" s="17" t="str">
        <f>'N TRIBUTARIO'!X69</f>
        <v>CANCASTE SUR</v>
      </c>
      <c r="Z28" s="17" t="str">
        <f>'N TRIBUTARIO'!Y69</f>
        <v>0427-041079-001-0 CANCASTE SUR</v>
      </c>
      <c r="AA28" s="17" t="str">
        <f>'N TRIBUTARIO'!Z69</f>
        <v>0427 CANCASTE-SUR</v>
      </c>
      <c r="AB28" s="17">
        <f>'N TRIBUTARIO'!AA69</f>
        <v>0</v>
      </c>
      <c r="AC28" s="17">
        <f>'N TRIBUTARIO'!AB69</f>
        <v>0</v>
      </c>
      <c r="AD28" s="17">
        <f>'N TRIBUTARIO'!AC69</f>
        <v>0</v>
      </c>
    </row>
    <row r="29" spans="1:30" ht="19" customHeight="1" x14ac:dyDescent="0.4">
      <c r="A29" s="17">
        <f>'N TRIBUTARIO'!A70</f>
        <v>0</v>
      </c>
      <c r="B29" s="17" t="str">
        <f>'N TRIBUTARIO'!B70</f>
        <v>04</v>
      </c>
      <c r="C29" s="17" t="str">
        <f>'N TRIBUTARIO'!C70</f>
        <v>10</v>
      </c>
      <c r="D29" s="17" t="str">
        <f>'N TRIBUTARIO'!D70</f>
        <v>79</v>
      </c>
      <c r="E29" s="17" t="str">
        <f>'N TRIBUTARIO'!E70</f>
        <v>001</v>
      </c>
      <c r="F29" s="17">
        <f>'N TRIBUTARIO'!F70</f>
        <v>0</v>
      </c>
      <c r="G29" s="17">
        <f>'N TRIBUTARIO'!G70</f>
        <v>69</v>
      </c>
      <c r="H29" s="17" t="str">
        <f>'N TRIBUTARIO'!H70</f>
        <v>0428</v>
      </c>
      <c r="I29" s="17">
        <f>'N TRIBUTARIO'!I70</f>
        <v>0</v>
      </c>
      <c r="J29" s="17" t="s">
        <v>725</v>
      </c>
      <c r="K29" s="17" t="str">
        <f>'N TRIBUTARIO'!J70</f>
        <v>SAN JOSE LAS FLORES</v>
      </c>
      <c r="L29" s="17" t="str">
        <f>'N TRIBUTARIO'!K70</f>
        <v>SUR</v>
      </c>
      <c r="M29" s="17" t="str">
        <f>'N TRIBUTARIO'!L70</f>
        <v>CHALATENANGO</v>
      </c>
      <c r="N29" s="17">
        <f>'N TRIBUTARIO'!M70</f>
        <v>0</v>
      </c>
      <c r="O29" s="17">
        <f>'N TRIBUTARIO'!N70</f>
        <v>0</v>
      </c>
      <c r="P29" s="17">
        <f>'N TRIBUTARIO'!O70</f>
        <v>0</v>
      </c>
      <c r="Q29" s="17">
        <f>'N TRIBUTARIO'!P70</f>
        <v>0</v>
      </c>
      <c r="R29" s="17">
        <f>'N TRIBUTARIO'!Q70</f>
        <v>0</v>
      </c>
      <c r="S29" s="17">
        <f>'N TRIBUTARIO'!R70</f>
        <v>1</v>
      </c>
      <c r="T29" s="17">
        <f>'N TRIBUTARIO'!S70</f>
        <v>0</v>
      </c>
      <c r="U29" s="17" t="str">
        <f>'N TRIBUTARIO'!T70</f>
        <v>-</v>
      </c>
      <c r="V29" s="17" t="str">
        <f>'N TRIBUTARIO'!U70</f>
        <v xml:space="preserve"> </v>
      </c>
      <c r="W29" s="17" t="str">
        <f>'N TRIBUTARIO'!V70</f>
        <v>SAN JOSE LAS FLORES-0428-SUR</v>
      </c>
      <c r="X29" s="17" t="str">
        <f>'N TRIBUTARIO'!W70</f>
        <v>0428-041079-001-0</v>
      </c>
      <c r="Y29" s="17" t="str">
        <f>'N TRIBUTARIO'!X70</f>
        <v>SAN JOSE LAS FLORES SUR</v>
      </c>
      <c r="Z29" s="17" t="str">
        <f>'N TRIBUTARIO'!Y70</f>
        <v>0428-041079-001-0 SAN JOSE LAS FLORES SUR</v>
      </c>
      <c r="AA29" s="17" t="str">
        <f>'N TRIBUTARIO'!Z70</f>
        <v>0428 SAN JOSE LAS FLORES-SUR</v>
      </c>
      <c r="AB29" s="17">
        <f>'N TRIBUTARIO'!AA70</f>
        <v>0</v>
      </c>
      <c r="AC29" s="17">
        <f>'N TRIBUTARIO'!AB70</f>
        <v>0</v>
      </c>
      <c r="AD29" s="17">
        <f>'N TRIBUTARIO'!AC70</f>
        <v>0</v>
      </c>
    </row>
    <row r="30" spans="1:30" ht="19" customHeight="1" x14ac:dyDescent="0.4">
      <c r="A30" s="17">
        <f>'N TRIBUTARIO'!A71</f>
        <v>0</v>
      </c>
      <c r="B30" s="17" t="str">
        <f>'N TRIBUTARIO'!B71</f>
        <v>04</v>
      </c>
      <c r="C30" s="17" t="str">
        <f>'N TRIBUTARIO'!C71</f>
        <v>10</v>
      </c>
      <c r="D30" s="17" t="str">
        <f>'N TRIBUTARIO'!D71</f>
        <v>79</v>
      </c>
      <c r="E30" s="17" t="str">
        <f>'N TRIBUTARIO'!E71</f>
        <v>001</v>
      </c>
      <c r="F30" s="17">
        <f>'N TRIBUTARIO'!F71</f>
        <v>0</v>
      </c>
      <c r="G30" s="17">
        <f>'N TRIBUTARIO'!G71</f>
        <v>70</v>
      </c>
      <c r="H30" s="17" t="str">
        <f>'N TRIBUTARIO'!H71</f>
        <v>0429</v>
      </c>
      <c r="I30" s="17">
        <f>'N TRIBUTARIO'!I71</f>
        <v>0</v>
      </c>
      <c r="J30" s="17" t="s">
        <v>725</v>
      </c>
      <c r="K30" s="17" t="str">
        <f>'N TRIBUTARIO'!J71</f>
        <v>SAN LUIS DEL CARMEN</v>
      </c>
      <c r="L30" s="17" t="str">
        <f>'N TRIBUTARIO'!K71</f>
        <v>SUR</v>
      </c>
      <c r="M30" s="17" t="str">
        <f>'N TRIBUTARIO'!L71</f>
        <v>CHALATENANGO</v>
      </c>
      <c r="N30" s="17">
        <f>'N TRIBUTARIO'!M71</f>
        <v>0</v>
      </c>
      <c r="O30" s="17">
        <f>'N TRIBUTARIO'!N71</f>
        <v>0</v>
      </c>
      <c r="P30" s="17">
        <f>'N TRIBUTARIO'!O71</f>
        <v>0</v>
      </c>
      <c r="Q30" s="17">
        <f>'N TRIBUTARIO'!P71</f>
        <v>0</v>
      </c>
      <c r="R30" s="17">
        <f>'N TRIBUTARIO'!Q71</f>
        <v>0</v>
      </c>
      <c r="S30" s="17">
        <f>'N TRIBUTARIO'!R71</f>
        <v>1</v>
      </c>
      <c r="T30" s="17">
        <f>'N TRIBUTARIO'!S71</f>
        <v>0</v>
      </c>
      <c r="U30" s="17" t="str">
        <f>'N TRIBUTARIO'!T71</f>
        <v>-</v>
      </c>
      <c r="V30" s="17" t="str">
        <f>'N TRIBUTARIO'!U71</f>
        <v xml:space="preserve"> </v>
      </c>
      <c r="W30" s="17" t="str">
        <f>'N TRIBUTARIO'!V71</f>
        <v>SAN LUIS DEL CARMEN-0429-SUR</v>
      </c>
      <c r="X30" s="17" t="str">
        <f>'N TRIBUTARIO'!W71</f>
        <v>0429-041079-001-0</v>
      </c>
      <c r="Y30" s="17" t="str">
        <f>'N TRIBUTARIO'!X71</f>
        <v>SAN LUIS DEL CARMEN SUR</v>
      </c>
      <c r="Z30" s="17" t="str">
        <f>'N TRIBUTARIO'!Y71</f>
        <v>0429-041079-001-0 SAN LUIS DEL CARMEN SUR</v>
      </c>
      <c r="AA30" s="17" t="str">
        <f>'N TRIBUTARIO'!Z71</f>
        <v>0429 SAN LUIS DEL CARMEN-SUR</v>
      </c>
      <c r="AB30" s="17">
        <f>'N TRIBUTARIO'!AA71</f>
        <v>0</v>
      </c>
      <c r="AC30" s="17">
        <f>'N TRIBUTARIO'!AB71</f>
        <v>0</v>
      </c>
      <c r="AD30" s="17">
        <f>'N TRIBUTARIO'!AC71</f>
        <v>0</v>
      </c>
    </row>
    <row r="31" spans="1:30" ht="19" customHeight="1" x14ac:dyDescent="0.4">
      <c r="A31" s="17">
        <f>'N TRIBUTARIO'!A72</f>
        <v>0</v>
      </c>
      <c r="B31" s="17" t="str">
        <f>'N TRIBUTARIO'!B72</f>
        <v>04</v>
      </c>
      <c r="C31" s="17" t="str">
        <f>'N TRIBUTARIO'!C72</f>
        <v>10</v>
      </c>
      <c r="D31" s="17" t="str">
        <f>'N TRIBUTARIO'!D72</f>
        <v>79</v>
      </c>
      <c r="E31" s="17" t="str">
        <f>'N TRIBUTARIO'!E72</f>
        <v>001</v>
      </c>
      <c r="F31" s="17">
        <f>'N TRIBUTARIO'!F72</f>
        <v>1</v>
      </c>
      <c r="G31" s="17">
        <f>'N TRIBUTARIO'!G72</f>
        <v>71</v>
      </c>
      <c r="H31" s="17" t="str">
        <f>'N TRIBUTARIO'!H72</f>
        <v>0430</v>
      </c>
      <c r="I31" s="17">
        <f>'N TRIBUTARIO'!I72</f>
        <v>0</v>
      </c>
      <c r="J31" s="17" t="s">
        <v>725</v>
      </c>
      <c r="K31" s="17" t="str">
        <f>'N TRIBUTARIO'!J72</f>
        <v>SAN MIGUEL DE MERCEDES</v>
      </c>
      <c r="L31" s="17" t="str">
        <f>'N TRIBUTARIO'!K72</f>
        <v>SUR</v>
      </c>
      <c r="M31" s="17" t="str">
        <f>'N TRIBUTARIO'!L72</f>
        <v>CHALATENANGO</v>
      </c>
      <c r="N31" s="17">
        <f>'N TRIBUTARIO'!M72</f>
        <v>0</v>
      </c>
      <c r="O31" s="17">
        <f>'N TRIBUTARIO'!N72</f>
        <v>0</v>
      </c>
      <c r="P31" s="17">
        <f>'N TRIBUTARIO'!O72</f>
        <v>0</v>
      </c>
      <c r="Q31" s="17">
        <f>'N TRIBUTARIO'!P72</f>
        <v>0</v>
      </c>
      <c r="R31" s="17">
        <f>'N TRIBUTARIO'!Q72</f>
        <v>0</v>
      </c>
      <c r="S31" s="17">
        <f>'N TRIBUTARIO'!R72</f>
        <v>1</v>
      </c>
      <c r="T31" s="17">
        <f>'N TRIBUTARIO'!S72</f>
        <v>0</v>
      </c>
      <c r="U31" s="17" t="str">
        <f>'N TRIBUTARIO'!T72</f>
        <v>-</v>
      </c>
      <c r="V31" s="17" t="str">
        <f>'N TRIBUTARIO'!U72</f>
        <v xml:space="preserve"> </v>
      </c>
      <c r="W31" s="17" t="str">
        <f>'N TRIBUTARIO'!V72</f>
        <v>SAN MIGUEL DE MERCEDES-0430-SUR</v>
      </c>
      <c r="X31" s="17" t="str">
        <f>'N TRIBUTARIO'!W72</f>
        <v>0430-041079-001-1</v>
      </c>
      <c r="Y31" s="17" t="str">
        <f>'N TRIBUTARIO'!X72</f>
        <v>SAN MIGUEL DE MERCEDES SUR</v>
      </c>
      <c r="Z31" s="17" t="str">
        <f>'N TRIBUTARIO'!Y72</f>
        <v>0430-041079-001-1 SAN MIGUEL DE MERCEDES SUR</v>
      </c>
      <c r="AA31" s="17" t="str">
        <f>'N TRIBUTARIO'!Z72</f>
        <v>0430 SAN MIGUEL DE MERCEDES-SUR</v>
      </c>
      <c r="AB31" s="17">
        <f>'N TRIBUTARIO'!AA72</f>
        <v>0</v>
      </c>
      <c r="AC31" s="17">
        <f>'N TRIBUTARIO'!AB72</f>
        <v>0</v>
      </c>
      <c r="AD31" s="17">
        <f>'N TRIBUTARIO'!AC72</f>
        <v>0</v>
      </c>
    </row>
    <row r="32" spans="1:30" ht="19" customHeight="1" x14ac:dyDescent="0.4">
      <c r="A32" s="17">
        <f>'N TRIBUTARIO'!A73</f>
        <v>0</v>
      </c>
      <c r="B32" s="17" t="str">
        <f>'N TRIBUTARIO'!B73</f>
        <v>31</v>
      </c>
      <c r="C32" s="17" t="str">
        <f>'N TRIBUTARIO'!C73</f>
        <v>01</v>
      </c>
      <c r="D32" s="17" t="str">
        <f>'N TRIBUTARIO'!D73</f>
        <v>81</v>
      </c>
      <c r="E32" s="17" t="str">
        <f>'N TRIBUTARIO'!E73</f>
        <v>001</v>
      </c>
      <c r="F32" s="17">
        <f>'N TRIBUTARIO'!F73</f>
        <v>0</v>
      </c>
      <c r="G32" s="17">
        <f>'N TRIBUTARIO'!G73</f>
        <v>72</v>
      </c>
      <c r="H32" s="17" t="str">
        <f>'N TRIBUTARIO'!H73</f>
        <v>0431</v>
      </c>
      <c r="I32" s="17">
        <f>'N TRIBUTARIO'!I73</f>
        <v>0</v>
      </c>
      <c r="J32" s="17" t="s">
        <v>725</v>
      </c>
      <c r="K32" s="17" t="str">
        <f>'N TRIBUTARIO'!J73</f>
        <v>SAN RAFAEL</v>
      </c>
      <c r="L32" s="17" t="str">
        <f>'N TRIBUTARIO'!K73</f>
        <v>CENTRO</v>
      </c>
      <c r="M32" s="17" t="str">
        <f>'N TRIBUTARIO'!L73</f>
        <v>CHALATENANGO</v>
      </c>
      <c r="N32" s="17">
        <f>'N TRIBUTARIO'!M73</f>
        <v>1</v>
      </c>
      <c r="O32" s="17">
        <f>'N TRIBUTARIO'!N73</f>
        <v>0</v>
      </c>
      <c r="P32" s="17">
        <f>'N TRIBUTARIO'!O73</f>
        <v>0</v>
      </c>
      <c r="Q32" s="17">
        <f>'N TRIBUTARIO'!P73</f>
        <v>0</v>
      </c>
      <c r="R32" s="17">
        <f>'N TRIBUTARIO'!Q73</f>
        <v>0</v>
      </c>
      <c r="S32" s="17">
        <f>'N TRIBUTARIO'!R73</f>
        <v>0</v>
      </c>
      <c r="T32" s="17">
        <f>'N TRIBUTARIO'!S73</f>
        <v>0</v>
      </c>
      <c r="U32" s="17" t="str">
        <f>'N TRIBUTARIO'!T73</f>
        <v>-</v>
      </c>
      <c r="V32" s="17" t="str">
        <f>'N TRIBUTARIO'!U73</f>
        <v xml:space="preserve"> </v>
      </c>
      <c r="W32" s="17" t="str">
        <f>'N TRIBUTARIO'!V73</f>
        <v>SAN RAFAEL-0431-CENTRO</v>
      </c>
      <c r="X32" s="17" t="str">
        <f>'N TRIBUTARIO'!W73</f>
        <v>0431-310181-001-0</v>
      </c>
      <c r="Y32" s="17" t="str">
        <f>'N TRIBUTARIO'!X73</f>
        <v>SAN RAFAEL CENTRO</v>
      </c>
      <c r="Z32" s="17" t="str">
        <f>'N TRIBUTARIO'!Y73</f>
        <v>0431-310181-001-0 SAN RAFAEL CENTRO</v>
      </c>
      <c r="AA32" s="17" t="str">
        <f>'N TRIBUTARIO'!Z73</f>
        <v>0431 SAN RAFAEL-CENTRO</v>
      </c>
      <c r="AB32" s="17">
        <f>'N TRIBUTARIO'!AA73</f>
        <v>0</v>
      </c>
      <c r="AC32" s="17">
        <f>'N TRIBUTARIO'!AB73</f>
        <v>0</v>
      </c>
      <c r="AD32" s="17">
        <f>'N TRIBUTARIO'!AC73</f>
        <v>0</v>
      </c>
    </row>
    <row r="33" spans="1:30" ht="19" customHeight="1" x14ac:dyDescent="0.4">
      <c r="A33" s="17">
        <f>'N TRIBUTARIO'!A74</f>
        <v>0</v>
      </c>
      <c r="B33" s="17" t="str">
        <f>'N TRIBUTARIO'!B74</f>
        <v>04</v>
      </c>
      <c r="C33" s="17" t="str">
        <f>'N TRIBUTARIO'!C74</f>
        <v>10</v>
      </c>
      <c r="D33" s="17" t="str">
        <f>'N TRIBUTARIO'!D74</f>
        <v>79</v>
      </c>
      <c r="E33" s="17" t="str">
        <f>'N TRIBUTARIO'!E74</f>
        <v>001</v>
      </c>
      <c r="F33" s="17">
        <f>'N TRIBUTARIO'!F74</f>
        <v>1</v>
      </c>
      <c r="G33" s="17">
        <f>'N TRIBUTARIO'!G74</f>
        <v>73</v>
      </c>
      <c r="H33" s="17" t="str">
        <f>'N TRIBUTARIO'!H74</f>
        <v>0432</v>
      </c>
      <c r="I33" s="17">
        <f>'N TRIBUTARIO'!I74</f>
        <v>0</v>
      </c>
      <c r="J33" s="17" t="s">
        <v>725</v>
      </c>
      <c r="K33" s="17" t="str">
        <f>'N TRIBUTARIO'!J74</f>
        <v>SANTA RITA</v>
      </c>
      <c r="L33" s="17" t="str">
        <f>'N TRIBUTARIO'!K74</f>
        <v>CENTRO</v>
      </c>
      <c r="M33" s="17" t="str">
        <f>'N TRIBUTARIO'!L74</f>
        <v>CHALATENANGO</v>
      </c>
      <c r="N33" s="17">
        <f>'N TRIBUTARIO'!M74</f>
        <v>1</v>
      </c>
      <c r="O33" s="17">
        <f>'N TRIBUTARIO'!N74</f>
        <v>0</v>
      </c>
      <c r="P33" s="17">
        <f>'N TRIBUTARIO'!O74</f>
        <v>0</v>
      </c>
      <c r="Q33" s="17">
        <f>'N TRIBUTARIO'!P74</f>
        <v>0</v>
      </c>
      <c r="R33" s="17">
        <f>'N TRIBUTARIO'!Q74</f>
        <v>0</v>
      </c>
      <c r="S33" s="17">
        <f>'N TRIBUTARIO'!R74</f>
        <v>0</v>
      </c>
      <c r="T33" s="17">
        <f>'N TRIBUTARIO'!S74</f>
        <v>0</v>
      </c>
      <c r="U33" s="17" t="str">
        <f>'N TRIBUTARIO'!T74</f>
        <v>-</v>
      </c>
      <c r="V33" s="17" t="str">
        <f>'N TRIBUTARIO'!U74</f>
        <v xml:space="preserve"> </v>
      </c>
      <c r="W33" s="17" t="str">
        <f>'N TRIBUTARIO'!V74</f>
        <v>SANTA RITA-0432-CENTRO</v>
      </c>
      <c r="X33" s="17" t="str">
        <f>'N TRIBUTARIO'!W74</f>
        <v>0432-041079-001-1</v>
      </c>
      <c r="Y33" s="17" t="str">
        <f>'N TRIBUTARIO'!X74</f>
        <v>SANTA RITA CENTRO</v>
      </c>
      <c r="Z33" s="17" t="str">
        <f>'N TRIBUTARIO'!Y74</f>
        <v>0432-041079-001-1 SANTA RITA CENTRO</v>
      </c>
      <c r="AA33" s="17" t="str">
        <f>'N TRIBUTARIO'!Z74</f>
        <v>0432 SANTA RITA-CENTRO</v>
      </c>
      <c r="AB33" s="17">
        <f>'N TRIBUTARIO'!AA74</f>
        <v>0</v>
      </c>
      <c r="AC33" s="17">
        <f>'N TRIBUTARIO'!AB74</f>
        <v>0</v>
      </c>
      <c r="AD33" s="17">
        <f>'N TRIBUTARIO'!AC74</f>
        <v>0</v>
      </c>
    </row>
    <row r="34" spans="1:30" ht="19" customHeight="1" x14ac:dyDescent="0.4">
      <c r="A34" s="17">
        <f>'N TRIBUTARIO'!A75</f>
        <v>0</v>
      </c>
      <c r="B34" s="17" t="str">
        <f>'N TRIBUTARIO'!B75</f>
        <v>04</v>
      </c>
      <c r="C34" s="17" t="str">
        <f>'N TRIBUTARIO'!C75</f>
        <v>10</v>
      </c>
      <c r="D34" s="17" t="str">
        <f>'N TRIBUTARIO'!D75</f>
        <v>79</v>
      </c>
      <c r="E34" s="17" t="str">
        <f>'N TRIBUTARIO'!E75</f>
        <v>001</v>
      </c>
      <c r="F34" s="17">
        <f>'N TRIBUTARIO'!F75</f>
        <v>1</v>
      </c>
      <c r="G34" s="17">
        <f>'N TRIBUTARIO'!G75</f>
        <v>74</v>
      </c>
      <c r="H34" s="17" t="str">
        <f>'N TRIBUTARIO'!H75</f>
        <v>0433</v>
      </c>
      <c r="I34" s="17">
        <f>'N TRIBUTARIO'!I75</f>
        <v>0</v>
      </c>
      <c r="J34" s="17" t="s">
        <v>725</v>
      </c>
      <c r="K34" s="17" t="str">
        <f>'N TRIBUTARIO'!J75</f>
        <v>TEJUTLA</v>
      </c>
      <c r="L34" s="17" t="str">
        <f>'N TRIBUTARIO'!K75</f>
        <v>CENTRO</v>
      </c>
      <c r="M34" s="17" t="str">
        <f>'N TRIBUTARIO'!L75</f>
        <v>CHALATENANGO</v>
      </c>
      <c r="N34" s="17">
        <f>'N TRIBUTARIO'!M75</f>
        <v>1</v>
      </c>
      <c r="O34" s="17">
        <f>'N TRIBUTARIO'!N75</f>
        <v>0</v>
      </c>
      <c r="P34" s="17">
        <f>'N TRIBUTARIO'!O75</f>
        <v>0</v>
      </c>
      <c r="Q34" s="17">
        <f>'N TRIBUTARIO'!P75</f>
        <v>0</v>
      </c>
      <c r="R34" s="17">
        <f>'N TRIBUTARIO'!Q75</f>
        <v>0</v>
      </c>
      <c r="S34" s="17">
        <f>'N TRIBUTARIO'!R75</f>
        <v>0</v>
      </c>
      <c r="T34" s="17">
        <f>'N TRIBUTARIO'!S75</f>
        <v>0</v>
      </c>
      <c r="U34" s="17" t="str">
        <f>'N TRIBUTARIO'!T75</f>
        <v>-</v>
      </c>
      <c r="V34" s="17" t="str">
        <f>'N TRIBUTARIO'!U75</f>
        <v xml:space="preserve"> </v>
      </c>
      <c r="W34" s="17" t="str">
        <f>'N TRIBUTARIO'!V75</f>
        <v>TEJUTLA-0433-CENTRO</v>
      </c>
      <c r="X34" s="17" t="str">
        <f>'N TRIBUTARIO'!W75</f>
        <v>0433-041079-001-1</v>
      </c>
      <c r="Y34" s="17" t="str">
        <f>'N TRIBUTARIO'!X75</f>
        <v>TEJUTLA CENTRO</v>
      </c>
      <c r="Z34" s="17" t="str">
        <f>'N TRIBUTARIO'!Y75</f>
        <v>0433-041079-001-1 TEJUTLA CENTRO</v>
      </c>
      <c r="AA34" s="17" t="str">
        <f>'N TRIBUTARIO'!Z75</f>
        <v>0433 TEJUTLA-CENTRO</v>
      </c>
      <c r="AB34" s="17">
        <f>'N TRIBUTARIO'!AA75</f>
        <v>0</v>
      </c>
      <c r="AC34" s="17">
        <f>'N TRIBUTARIO'!AB75</f>
        <v>0</v>
      </c>
      <c r="AD34" s="17">
        <f>'N TRIBUTARIO'!AC75</f>
        <v>0</v>
      </c>
    </row>
    <row r="35" spans="1:30" ht="19" customHeight="1" x14ac:dyDescent="0.4">
      <c r="N35" s="1">
        <f>SUM(N2:N34)</f>
        <v>10</v>
      </c>
      <c r="O35" s="1">
        <f t="shared" ref="O35:T35" si="0">SUM(O2:O34)</f>
        <v>0</v>
      </c>
      <c r="P35" s="1">
        <f t="shared" si="0"/>
        <v>0</v>
      </c>
      <c r="Q35" s="1">
        <f t="shared" si="0"/>
        <v>3</v>
      </c>
      <c r="R35" s="1">
        <f t="shared" si="0"/>
        <v>0</v>
      </c>
      <c r="S35" s="1">
        <f t="shared" si="0"/>
        <v>20</v>
      </c>
      <c r="T35" s="1">
        <f t="shared" si="0"/>
        <v>0</v>
      </c>
    </row>
    <row r="36" spans="1:30" ht="19" customHeight="1" x14ac:dyDescent="0.4">
      <c r="I36" s="1" t="str">
        <f>N1</f>
        <v>CENTRO</v>
      </c>
      <c r="J36" s="1" t="str">
        <f>CONCATENATE(K2,J2,K9,J9,K11,J11,K14,J14,K17,J17,K23,J23,K25,J25,K32,J32,K33,J33,K34)</f>
        <v>AGUA CALIENTE, DULCE NOMBRE DE MARIA, EL PARAISO, LA REINA, NUEVA CONCEPCION, SAN FERNANDO, SAN FRANCISCO MORAZAN, SAN RAFAEL, SANTA RITA, TEJUTLA</v>
      </c>
    </row>
    <row r="37" spans="1:30" ht="19" customHeight="1" x14ac:dyDescent="0.4">
      <c r="I37" s="1" t="str">
        <f>Q1</f>
        <v>NORTE</v>
      </c>
      <c r="J37" s="1" t="str">
        <f>CONCATENATE(K5,J5,K13,J13,K26)</f>
        <v>CITALA, LA PALMA, SAN IGNACIO</v>
      </c>
    </row>
    <row r="38" spans="1:30" ht="19" customHeight="1" x14ac:dyDescent="0.4">
      <c r="I38" s="1" t="str">
        <f>S1</f>
        <v>SUR</v>
      </c>
      <c r="J38" s="1" t="str">
        <f>CONCATENATE(K3,J3,K4,J4,K6,J6,K7,J7,K8,J8,K10,J10,K12,J12,K15,J15,K16,J16,K18,J18,K19,J19,K20,J20,K21,J21,K22,J22,K24,J24,K27,J27,K28,J28,K29,J29,K30,J30,K31)</f>
        <v>ARCATAO, AZACUALPA, COMALAPA, CONCEPCION QUEZALTEPEQUE , CHALATENANGO, EL CARRIZAL, LA LAGUNA, LAS VUELTAS, NOMBRE DE JESUS, NUEVA TRINIDAD, OJOS DE AGUA, POTONICO, SAN ANTONIO DE LA CRUZ, SAN ANTONIO LOS RANCHOS, SAN FRANCISCO LEMPA, SAN ISIDRO LABRADOR, CANCASTE, SAN JOSE LAS FLORES, SAN LUIS DEL CARMEN, SAN MIGUEL DE MERCEDES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94C8-833F-411B-9CF9-4DEBBAA7759B}">
  <sheetPr codeName="Hoja12"/>
  <dimension ref="A1:AD30"/>
  <sheetViews>
    <sheetView showZeros="0" topLeftCell="G14"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6" t="str">
        <f>'N TRIBUTARIO'!A76</f>
        <v>E1</v>
      </c>
      <c r="B2" s="16" t="str">
        <f>'N TRIBUTARIO'!B76</f>
        <v>01</v>
      </c>
      <c r="C2" s="16" t="str">
        <f>'N TRIBUTARIO'!C76</f>
        <v>06</v>
      </c>
      <c r="D2" s="16" t="str">
        <f>'N TRIBUTARIO'!D76</f>
        <v>11</v>
      </c>
      <c r="E2" s="16" t="str">
        <f>'N TRIBUTARIO'!E76</f>
        <v>001</v>
      </c>
      <c r="F2" s="16">
        <f>'N TRIBUTARIO'!F76</f>
        <v>8</v>
      </c>
      <c r="G2" s="16">
        <f>'N TRIBUTARIO'!G76</f>
        <v>75</v>
      </c>
      <c r="H2" s="16" t="str">
        <f>'N TRIBUTARIO'!H76</f>
        <v>0501</v>
      </c>
      <c r="I2" s="16">
        <f>'N TRIBUTARIO'!I76</f>
        <v>0</v>
      </c>
      <c r="J2" s="16" t="s">
        <v>725</v>
      </c>
      <c r="K2" s="16" t="str">
        <f>'N TRIBUTARIO'!J76</f>
        <v>ANTIGUO CUSCATLAN</v>
      </c>
      <c r="L2" s="16" t="str">
        <f>'N TRIBUTARIO'!K76</f>
        <v>ESTE</v>
      </c>
      <c r="M2" s="16" t="str">
        <f>'N TRIBUTARIO'!L76</f>
        <v>LA LIBERTAD</v>
      </c>
      <c r="N2" s="16">
        <f>'N TRIBUTARIO'!M76</f>
        <v>0</v>
      </c>
      <c r="O2" s="16">
        <f>'N TRIBUTARIO'!N76</f>
        <v>0</v>
      </c>
      <c r="P2" s="16">
        <f>'N TRIBUTARIO'!O76</f>
        <v>1</v>
      </c>
      <c r="Q2" s="16">
        <f>'N TRIBUTARIO'!P76</f>
        <v>0</v>
      </c>
      <c r="R2" s="16">
        <f>'N TRIBUTARIO'!Q76</f>
        <v>0</v>
      </c>
      <c r="S2" s="16">
        <f>'N TRIBUTARIO'!R76</f>
        <v>0</v>
      </c>
      <c r="T2" s="16">
        <f>'N TRIBUTARIO'!S76</f>
        <v>0</v>
      </c>
      <c r="U2" s="16" t="str">
        <f>'N TRIBUTARIO'!T76</f>
        <v>-</v>
      </c>
      <c r="V2" s="16" t="str">
        <f>'N TRIBUTARIO'!U76</f>
        <v xml:space="preserve"> </v>
      </c>
      <c r="W2" s="16" t="str">
        <f>'N TRIBUTARIO'!V76</f>
        <v>ANTIGUO CUSCATLAN-0501-ESTE</v>
      </c>
      <c r="X2" s="16" t="str">
        <f>'N TRIBUTARIO'!W76</f>
        <v>0501-010611-001-8</v>
      </c>
      <c r="Y2" s="16" t="str">
        <f>'N TRIBUTARIO'!X76</f>
        <v>ANTIGUO CUSCATLAN ESTE</v>
      </c>
      <c r="Z2" s="16" t="str">
        <f>'N TRIBUTARIO'!Y76</f>
        <v>0501-010611-001-8 ANTIGUO CUSCATLAN ESTE</v>
      </c>
      <c r="AA2" s="16" t="str">
        <f>'N TRIBUTARIO'!Z76</f>
        <v>0501 ANTIGUO CUSCATLAN-ESTE</v>
      </c>
      <c r="AB2" s="16">
        <f>'N TRIBUTARIO'!AA76</f>
        <v>134.58000000000001</v>
      </c>
      <c r="AC2" s="16">
        <f>'N TRIBUTARIO'!AB76</f>
        <v>132697</v>
      </c>
      <c r="AD2" s="16">
        <f>'N TRIBUTARIO'!AC76</f>
        <v>986.01</v>
      </c>
    </row>
    <row r="3" spans="1:30" ht="19" customHeight="1" x14ac:dyDescent="0.4">
      <c r="A3" s="16">
        <f>'N TRIBUTARIO'!A77</f>
        <v>0</v>
      </c>
      <c r="B3" s="16" t="str">
        <f>'N TRIBUTARIO'!B77</f>
        <v>05</v>
      </c>
      <c r="C3" s="16" t="str">
        <f>'N TRIBUTARIO'!C77</f>
        <v>10</v>
      </c>
      <c r="D3" s="16" t="str">
        <f>'N TRIBUTARIO'!D77</f>
        <v>79</v>
      </c>
      <c r="E3" s="16" t="str">
        <f>'N TRIBUTARIO'!E77</f>
        <v>001</v>
      </c>
      <c r="F3" s="16">
        <f>'N TRIBUTARIO'!F77</f>
        <v>9</v>
      </c>
      <c r="G3" s="16">
        <f>'N TRIBUTARIO'!G77</f>
        <v>76</v>
      </c>
      <c r="H3" s="16" t="str">
        <f>'N TRIBUTARIO'!H77</f>
        <v>0502</v>
      </c>
      <c r="I3" s="16">
        <f>'N TRIBUTARIO'!I77</f>
        <v>0</v>
      </c>
      <c r="J3" s="16" t="s">
        <v>725</v>
      </c>
      <c r="K3" s="16" t="str">
        <f>'N TRIBUTARIO'!J77</f>
        <v>CIUDAD ARCE</v>
      </c>
      <c r="L3" s="16" t="str">
        <f>'N TRIBUTARIO'!K77</f>
        <v>CENTRO</v>
      </c>
      <c r="M3" s="16" t="str">
        <f>'N TRIBUTARIO'!L77</f>
        <v>LA LIBERTAD</v>
      </c>
      <c r="N3" s="16">
        <f>'N TRIBUTARIO'!M77</f>
        <v>1</v>
      </c>
      <c r="O3" s="16">
        <f>'N TRIBUTARIO'!N77</f>
        <v>0</v>
      </c>
      <c r="P3" s="16">
        <f>'N TRIBUTARIO'!O77</f>
        <v>0</v>
      </c>
      <c r="Q3" s="16">
        <f>'N TRIBUTARIO'!P77</f>
        <v>0</v>
      </c>
      <c r="R3" s="16">
        <f>'N TRIBUTARIO'!Q77</f>
        <v>0</v>
      </c>
      <c r="S3" s="16">
        <f>'N TRIBUTARIO'!R77</f>
        <v>0</v>
      </c>
      <c r="T3" s="16">
        <f>'N TRIBUTARIO'!S77</f>
        <v>0</v>
      </c>
      <c r="U3" s="16" t="str">
        <f>'N TRIBUTARIO'!T77</f>
        <v>-</v>
      </c>
      <c r="V3" s="16" t="str">
        <f>'N TRIBUTARIO'!U77</f>
        <v xml:space="preserve"> </v>
      </c>
      <c r="W3" s="16" t="str">
        <f>'N TRIBUTARIO'!V77</f>
        <v>CIUDAD ARCE-0502-CENTRO</v>
      </c>
      <c r="X3" s="16" t="str">
        <f>'N TRIBUTARIO'!W77</f>
        <v>0502-051079-001-9</v>
      </c>
      <c r="Y3" s="16" t="str">
        <f>'N TRIBUTARIO'!X77</f>
        <v>CIUDAD ARCE CENTRO</v>
      </c>
      <c r="Z3" s="16" t="str">
        <f>'N TRIBUTARIO'!Y77</f>
        <v>0502-051079-001-9 CIUDAD ARCE CENTRO</v>
      </c>
      <c r="AA3" s="16" t="str">
        <f>'N TRIBUTARIO'!Z77</f>
        <v>0502 CIUDAD ARCE-CENTRO</v>
      </c>
      <c r="AB3" s="16">
        <f>'N TRIBUTARIO'!AA77</f>
        <v>0</v>
      </c>
      <c r="AC3" s="16">
        <f>'N TRIBUTARIO'!AB77</f>
        <v>0</v>
      </c>
      <c r="AD3" s="16">
        <f>'N TRIBUTARIO'!AC77</f>
        <v>0</v>
      </c>
    </row>
    <row r="4" spans="1:30" ht="19" customHeight="1" x14ac:dyDescent="0.4">
      <c r="A4" s="16" t="str">
        <f>'N TRIBUTARIO'!A78</f>
        <v>O1</v>
      </c>
      <c r="B4" s="16" t="str">
        <f>'N TRIBUTARIO'!B78</f>
        <v>03</v>
      </c>
      <c r="C4" s="16" t="str">
        <f>'N TRIBUTARIO'!C78</f>
        <v>06</v>
      </c>
      <c r="D4" s="16" t="str">
        <f>'N TRIBUTARIO'!D78</f>
        <v>79</v>
      </c>
      <c r="E4" s="16" t="str">
        <f>'N TRIBUTARIO'!E78</f>
        <v>001</v>
      </c>
      <c r="F4" s="16">
        <f>'N TRIBUTARIO'!F78</f>
        <v>3</v>
      </c>
      <c r="G4" s="16">
        <f>'N TRIBUTARIO'!G78</f>
        <v>77</v>
      </c>
      <c r="H4" s="16" t="str">
        <f>'N TRIBUTARIO'!H78</f>
        <v>0503</v>
      </c>
      <c r="I4" s="16">
        <f>'N TRIBUTARIO'!I78</f>
        <v>0</v>
      </c>
      <c r="J4" s="16" t="s">
        <v>725</v>
      </c>
      <c r="K4" s="16" t="str">
        <f>'N TRIBUTARIO'!J78</f>
        <v>COLON</v>
      </c>
      <c r="L4" s="16" t="str">
        <f>'N TRIBUTARIO'!K78</f>
        <v>OESTE</v>
      </c>
      <c r="M4" s="16" t="str">
        <f>'N TRIBUTARIO'!L78</f>
        <v>LA LIBERTAD</v>
      </c>
      <c r="N4" s="16">
        <f>'N TRIBUTARIO'!M78</f>
        <v>0</v>
      </c>
      <c r="O4" s="16">
        <f>'N TRIBUTARIO'!N78</f>
        <v>0</v>
      </c>
      <c r="P4" s="16">
        <f>'N TRIBUTARIO'!O78</f>
        <v>0</v>
      </c>
      <c r="Q4" s="16">
        <f>'N TRIBUTARIO'!P78</f>
        <v>0</v>
      </c>
      <c r="R4" s="16">
        <f>'N TRIBUTARIO'!Q78</f>
        <v>1</v>
      </c>
      <c r="S4" s="16">
        <f>'N TRIBUTARIO'!R78</f>
        <v>0</v>
      </c>
      <c r="T4" s="16">
        <f>'N TRIBUTARIO'!S78</f>
        <v>0</v>
      </c>
      <c r="U4" s="16" t="str">
        <f>'N TRIBUTARIO'!T78</f>
        <v>-</v>
      </c>
      <c r="V4" s="16" t="str">
        <f>'N TRIBUTARIO'!U78</f>
        <v xml:space="preserve"> </v>
      </c>
      <c r="W4" s="16" t="str">
        <f>'N TRIBUTARIO'!V78</f>
        <v>COLON-0503-OESTE</v>
      </c>
      <c r="X4" s="16" t="str">
        <f>'N TRIBUTARIO'!W78</f>
        <v>0503-030679-001-3</v>
      </c>
      <c r="Y4" s="16" t="str">
        <f>'N TRIBUTARIO'!X78</f>
        <v>COLON OESTE</v>
      </c>
      <c r="Z4" s="16" t="str">
        <f>'N TRIBUTARIO'!Y78</f>
        <v>0503-030679-001-3 COLON OESTE</v>
      </c>
      <c r="AA4" s="16" t="str">
        <f>'N TRIBUTARIO'!Z78</f>
        <v>0503 COLON-OESTE</v>
      </c>
      <c r="AB4" s="16">
        <f>'N TRIBUTARIO'!AA78</f>
        <v>276.98</v>
      </c>
      <c r="AC4" s="16">
        <f>'N TRIBUTARIO'!AB78</f>
        <v>148980</v>
      </c>
      <c r="AD4" s="16">
        <f>'N TRIBUTARIO'!AC78</f>
        <v>537.87</v>
      </c>
    </row>
    <row r="5" spans="1:30" ht="19" customHeight="1" x14ac:dyDescent="0.4">
      <c r="A5" s="16">
        <f>'N TRIBUTARIO'!A79</f>
        <v>0</v>
      </c>
      <c r="B5" s="16" t="str">
        <f>'N TRIBUTARIO'!B79</f>
        <v>25</v>
      </c>
      <c r="C5" s="16" t="str">
        <f>'N TRIBUTARIO'!C79</f>
        <v>03</v>
      </c>
      <c r="D5" s="16" t="str">
        <f>'N TRIBUTARIO'!D79</f>
        <v>24</v>
      </c>
      <c r="E5" s="16" t="str">
        <f>'N TRIBUTARIO'!E79</f>
        <v>001</v>
      </c>
      <c r="F5" s="16">
        <f>'N TRIBUTARIO'!F79</f>
        <v>9</v>
      </c>
      <c r="G5" s="16">
        <f>'N TRIBUTARIO'!G79</f>
        <v>78</v>
      </c>
      <c r="H5" s="16" t="str">
        <f>'N TRIBUTARIO'!H79</f>
        <v>0504</v>
      </c>
      <c r="I5" s="16">
        <f>'N TRIBUTARIO'!I79</f>
        <v>0</v>
      </c>
      <c r="J5" s="16" t="s">
        <v>725</v>
      </c>
      <c r="K5" s="16" t="str">
        <f>'N TRIBUTARIO'!J79</f>
        <v>COMASAGUA</v>
      </c>
      <c r="L5" s="16" t="str">
        <f>'N TRIBUTARIO'!K79</f>
        <v>SUR</v>
      </c>
      <c r="M5" s="16" t="str">
        <f>'N TRIBUTARIO'!L79</f>
        <v>LA LIBERTAD</v>
      </c>
      <c r="N5" s="16">
        <f>'N TRIBUTARIO'!M79</f>
        <v>0</v>
      </c>
      <c r="O5" s="16">
        <f>'N TRIBUTARIO'!N79</f>
        <v>0</v>
      </c>
      <c r="P5" s="16">
        <f>'N TRIBUTARIO'!O79</f>
        <v>0</v>
      </c>
      <c r="Q5" s="16">
        <f>'N TRIBUTARIO'!P79</f>
        <v>0</v>
      </c>
      <c r="R5" s="16">
        <f>'N TRIBUTARIO'!Q79</f>
        <v>0</v>
      </c>
      <c r="S5" s="16">
        <f>'N TRIBUTARIO'!R79</f>
        <v>1</v>
      </c>
      <c r="T5" s="16">
        <f>'N TRIBUTARIO'!S79</f>
        <v>0</v>
      </c>
      <c r="U5" s="16" t="str">
        <f>'N TRIBUTARIO'!T79</f>
        <v>-</v>
      </c>
      <c r="V5" s="16" t="str">
        <f>'N TRIBUTARIO'!U79</f>
        <v xml:space="preserve"> </v>
      </c>
      <c r="W5" s="16" t="str">
        <f>'N TRIBUTARIO'!V79</f>
        <v>COMASAGUA-0504-SUR</v>
      </c>
      <c r="X5" s="16" t="str">
        <f>'N TRIBUTARIO'!W79</f>
        <v>0504-250324-001-9</v>
      </c>
      <c r="Y5" s="16" t="str">
        <f>'N TRIBUTARIO'!X79</f>
        <v>COMASAGUA SUR</v>
      </c>
      <c r="Z5" s="16" t="str">
        <f>'N TRIBUTARIO'!Y79</f>
        <v>0504-250324-001-9 COMASAGUA SUR</v>
      </c>
      <c r="AA5" s="16" t="str">
        <f>'N TRIBUTARIO'!Z79</f>
        <v>0504 COMASAGUA-SUR</v>
      </c>
      <c r="AB5" s="16">
        <f>'N TRIBUTARIO'!AA79</f>
        <v>0</v>
      </c>
      <c r="AC5" s="16">
        <f>'N TRIBUTARIO'!AB79</f>
        <v>0</v>
      </c>
      <c r="AD5" s="16">
        <f>'N TRIBUTARIO'!AC79</f>
        <v>0</v>
      </c>
    </row>
    <row r="6" spans="1:30" ht="19" customHeight="1" x14ac:dyDescent="0.4">
      <c r="A6" s="16" t="str">
        <f>'N TRIBUTARIO'!A80</f>
        <v>N1</v>
      </c>
      <c r="B6" s="16" t="str">
        <f>'N TRIBUTARIO'!B80</f>
        <v>05</v>
      </c>
      <c r="C6" s="16" t="str">
        <f>'N TRIBUTARIO'!C80</f>
        <v>10</v>
      </c>
      <c r="D6" s="16" t="str">
        <f>'N TRIBUTARIO'!D80</f>
        <v>79</v>
      </c>
      <c r="E6" s="16" t="str">
        <f>'N TRIBUTARIO'!E80</f>
        <v>001</v>
      </c>
      <c r="F6" s="16">
        <f>'N TRIBUTARIO'!F80</f>
        <v>9</v>
      </c>
      <c r="G6" s="16">
        <f>'N TRIBUTARIO'!G80</f>
        <v>79</v>
      </c>
      <c r="H6" s="16" t="str">
        <f>'N TRIBUTARIO'!H80</f>
        <v>0505</v>
      </c>
      <c r="I6" s="16">
        <f>'N TRIBUTARIO'!I80</f>
        <v>0</v>
      </c>
      <c r="J6" s="16" t="s">
        <v>725</v>
      </c>
      <c r="K6" s="16" t="str">
        <f>'N TRIBUTARIO'!J80</f>
        <v>CHILTIUPAN</v>
      </c>
      <c r="L6" s="16" t="str">
        <f>'N TRIBUTARIO'!K80</f>
        <v>NORTE</v>
      </c>
      <c r="M6" s="16" t="str">
        <f>'N TRIBUTARIO'!L80</f>
        <v>LA LIBERTAD</v>
      </c>
      <c r="N6" s="16">
        <f>'N TRIBUTARIO'!M80</f>
        <v>0</v>
      </c>
      <c r="O6" s="16"/>
      <c r="P6" s="16">
        <f>'N TRIBUTARIO'!O80</f>
        <v>0</v>
      </c>
      <c r="Q6" s="16">
        <v>1</v>
      </c>
      <c r="R6" s="16">
        <f>'N TRIBUTARIO'!Q80</f>
        <v>0</v>
      </c>
      <c r="S6" s="16">
        <f>'N TRIBUTARIO'!R80</f>
        <v>0</v>
      </c>
      <c r="T6" s="16">
        <f>'N TRIBUTARIO'!S80</f>
        <v>0</v>
      </c>
      <c r="U6" s="16" t="str">
        <f>'N TRIBUTARIO'!T80</f>
        <v>-</v>
      </c>
      <c r="V6" s="16" t="str">
        <f>'N TRIBUTARIO'!U80</f>
        <v xml:space="preserve"> </v>
      </c>
      <c r="W6" s="16" t="str">
        <f>'N TRIBUTARIO'!V80</f>
        <v>CHILTIUPAN-0505-NORTE</v>
      </c>
      <c r="X6" s="16" t="str">
        <f>'N TRIBUTARIO'!W80</f>
        <v>0505-051079-001-9</v>
      </c>
      <c r="Y6" s="16" t="str">
        <f>'N TRIBUTARIO'!X80</f>
        <v>CHILTIUPAN NORTE</v>
      </c>
      <c r="Z6" s="16" t="str">
        <f>'N TRIBUTARIO'!Y80</f>
        <v>0505-051079-001-9 CHILTIUPAN NORTE</v>
      </c>
      <c r="AA6" s="16" t="str">
        <f>'N TRIBUTARIO'!Z80</f>
        <v>0505 CHILTIUPAN-NORTE</v>
      </c>
      <c r="AB6" s="16">
        <f>'N TRIBUTARIO'!AA80</f>
        <v>440.98</v>
      </c>
      <c r="AC6" s="16">
        <f>'N TRIBUTARIO'!AB80</f>
        <v>79906</v>
      </c>
      <c r="AD6" s="16">
        <f>'N TRIBUTARIO'!AC80</f>
        <v>181.2</v>
      </c>
    </row>
    <row r="7" spans="1:30" ht="19" customHeight="1" x14ac:dyDescent="0.4">
      <c r="A7" s="16">
        <f>'N TRIBUTARIO'!A81</f>
        <v>0</v>
      </c>
      <c r="B7" s="16" t="str">
        <f>'N TRIBUTARIO'!B81</f>
        <v>05</v>
      </c>
      <c r="C7" s="16" t="str">
        <f>'N TRIBUTARIO'!C81</f>
        <v>10</v>
      </c>
      <c r="D7" s="16" t="str">
        <f>'N TRIBUTARIO'!D81</f>
        <v>79</v>
      </c>
      <c r="E7" s="16" t="str">
        <f>'N TRIBUTARIO'!E81</f>
        <v>001</v>
      </c>
      <c r="F7" s="16">
        <f>'N TRIBUTARIO'!F81</f>
        <v>9</v>
      </c>
      <c r="G7" s="16">
        <f>'N TRIBUTARIO'!G81</f>
        <v>80</v>
      </c>
      <c r="H7" s="16" t="str">
        <f>'N TRIBUTARIO'!H81</f>
        <v>0506</v>
      </c>
      <c r="I7" s="16">
        <f>'N TRIBUTARIO'!I81</f>
        <v>0</v>
      </c>
      <c r="J7" s="16" t="s">
        <v>725</v>
      </c>
      <c r="K7" s="16" t="str">
        <f>'N TRIBUTARIO'!J81</f>
        <v>HUIZUCAR</v>
      </c>
      <c r="L7" s="16" t="str">
        <f>'N TRIBUTARIO'!K81</f>
        <v>ESTE</v>
      </c>
      <c r="M7" s="16" t="str">
        <f>'N TRIBUTARIO'!L81</f>
        <v>LA LIBERTAD</v>
      </c>
      <c r="N7" s="16">
        <f>'N TRIBUTARIO'!M81</f>
        <v>0</v>
      </c>
      <c r="O7" s="16">
        <f>'N TRIBUTARIO'!N81</f>
        <v>0</v>
      </c>
      <c r="P7" s="16">
        <f>'N TRIBUTARIO'!O81</f>
        <v>1</v>
      </c>
      <c r="Q7" s="16">
        <f>'N TRIBUTARIO'!P81</f>
        <v>0</v>
      </c>
      <c r="R7" s="16">
        <f>'N TRIBUTARIO'!Q81</f>
        <v>0</v>
      </c>
      <c r="S7" s="16">
        <f>'N TRIBUTARIO'!R81</f>
        <v>0</v>
      </c>
      <c r="T7" s="16">
        <f>'N TRIBUTARIO'!S81</f>
        <v>0</v>
      </c>
      <c r="U7" s="16" t="str">
        <f>'N TRIBUTARIO'!T81</f>
        <v>-</v>
      </c>
      <c r="V7" s="16" t="str">
        <f>'N TRIBUTARIO'!U81</f>
        <v xml:space="preserve"> </v>
      </c>
      <c r="W7" s="16" t="str">
        <f>'N TRIBUTARIO'!V81</f>
        <v>HUIZUCAR-0506-ESTE</v>
      </c>
      <c r="X7" s="16" t="str">
        <f>'N TRIBUTARIO'!W81</f>
        <v>0506-051079-001-9</v>
      </c>
      <c r="Y7" s="16" t="str">
        <f>'N TRIBUTARIO'!X81</f>
        <v>HUIZUCAR ESTE</v>
      </c>
      <c r="Z7" s="16" t="str">
        <f>'N TRIBUTARIO'!Y81</f>
        <v>0506-051079-001-9 HUIZUCAR ESTE</v>
      </c>
      <c r="AA7" s="16" t="str">
        <f>'N TRIBUTARIO'!Z81</f>
        <v>0506 HUIZUCAR-ESTE</v>
      </c>
      <c r="AB7" s="16">
        <f>'N TRIBUTARIO'!AA81</f>
        <v>0</v>
      </c>
      <c r="AC7" s="16">
        <f>'N TRIBUTARIO'!AB81</f>
        <v>0</v>
      </c>
      <c r="AD7" s="16">
        <f>'N TRIBUTARIO'!AC81</f>
        <v>0</v>
      </c>
    </row>
    <row r="8" spans="1:30" ht="19" customHeight="1" x14ac:dyDescent="0.4">
      <c r="A8" s="16">
        <f>'N TRIBUTARIO'!A82</f>
        <v>0</v>
      </c>
      <c r="B8" s="16" t="str">
        <f>'N TRIBUTARIO'!B82</f>
        <v>05</v>
      </c>
      <c r="C8" s="16" t="str">
        <f>'N TRIBUTARIO'!C82</f>
        <v>10</v>
      </c>
      <c r="D8" s="16" t="str">
        <f>'N TRIBUTARIO'!D82</f>
        <v>79</v>
      </c>
      <c r="E8" s="16" t="str">
        <f>'N TRIBUTARIO'!E82</f>
        <v>001</v>
      </c>
      <c r="F8" s="16">
        <f>'N TRIBUTARIO'!F82</f>
        <v>9</v>
      </c>
      <c r="G8" s="16">
        <f>'N TRIBUTARIO'!G82</f>
        <v>81</v>
      </c>
      <c r="H8" s="16" t="str">
        <f>'N TRIBUTARIO'!H82</f>
        <v>0507</v>
      </c>
      <c r="I8" s="16">
        <f>'N TRIBUTARIO'!I82</f>
        <v>0</v>
      </c>
      <c r="J8" s="16" t="s">
        <v>725</v>
      </c>
      <c r="K8" s="16" t="str">
        <f>'N TRIBUTARIO'!J82</f>
        <v>JAYAQUE</v>
      </c>
      <c r="L8" s="16" t="str">
        <f>'N TRIBUTARIO'!K82</f>
        <v>OESTE</v>
      </c>
      <c r="M8" s="16" t="str">
        <f>'N TRIBUTARIO'!L82</f>
        <v>LA LIBERTAD</v>
      </c>
      <c r="N8" s="16">
        <f>'N TRIBUTARIO'!M82</f>
        <v>0</v>
      </c>
      <c r="O8" s="16">
        <f>'N TRIBUTARIO'!N82</f>
        <v>0</v>
      </c>
      <c r="P8" s="16">
        <f>'N TRIBUTARIO'!O82</f>
        <v>0</v>
      </c>
      <c r="Q8" s="16">
        <f>'N TRIBUTARIO'!P82</f>
        <v>0</v>
      </c>
      <c r="R8" s="16">
        <f>'N TRIBUTARIO'!Q82</f>
        <v>1</v>
      </c>
      <c r="S8" s="16">
        <f>'N TRIBUTARIO'!R82</f>
        <v>0</v>
      </c>
      <c r="T8" s="16">
        <f>'N TRIBUTARIO'!S82</f>
        <v>0</v>
      </c>
      <c r="U8" s="16" t="str">
        <f>'N TRIBUTARIO'!T82</f>
        <v>-</v>
      </c>
      <c r="V8" s="16" t="str">
        <f>'N TRIBUTARIO'!U82</f>
        <v xml:space="preserve"> </v>
      </c>
      <c r="W8" s="16" t="str">
        <f>'N TRIBUTARIO'!V82</f>
        <v>JAYAQUE-0507-OESTE</v>
      </c>
      <c r="X8" s="16" t="str">
        <f>'N TRIBUTARIO'!W82</f>
        <v>0507-051079-001-9</v>
      </c>
      <c r="Y8" s="16" t="str">
        <f>'N TRIBUTARIO'!X82</f>
        <v>JAYAQUE OESTE</v>
      </c>
      <c r="Z8" s="16" t="str">
        <f>'N TRIBUTARIO'!Y82</f>
        <v>0507-051079-001-9 JAYAQUE OESTE</v>
      </c>
      <c r="AA8" s="16" t="str">
        <f>'N TRIBUTARIO'!Z82</f>
        <v>0507 JAYAQUE-OESTE</v>
      </c>
      <c r="AB8" s="16">
        <f>'N TRIBUTARIO'!AA82</f>
        <v>0</v>
      </c>
      <c r="AC8" s="16">
        <f>'N TRIBUTARIO'!AB82</f>
        <v>0</v>
      </c>
      <c r="AD8" s="16">
        <f>'N TRIBUTARIO'!AC82</f>
        <v>0</v>
      </c>
    </row>
    <row r="9" spans="1:30" ht="19" customHeight="1" x14ac:dyDescent="0.4">
      <c r="A9" s="16">
        <f>'N TRIBUTARIO'!A83</f>
        <v>0</v>
      </c>
      <c r="B9" s="16" t="str">
        <f>'N TRIBUTARIO'!B83</f>
        <v>05</v>
      </c>
      <c r="C9" s="16" t="str">
        <f>'N TRIBUTARIO'!C83</f>
        <v>10</v>
      </c>
      <c r="D9" s="16" t="str">
        <f>'N TRIBUTARIO'!D83</f>
        <v>79</v>
      </c>
      <c r="E9" s="16" t="str">
        <f>'N TRIBUTARIO'!E83</f>
        <v>001</v>
      </c>
      <c r="F9" s="16">
        <f>'N TRIBUTARIO'!F83</f>
        <v>9</v>
      </c>
      <c r="G9" s="16">
        <f>'N TRIBUTARIO'!G83</f>
        <v>82</v>
      </c>
      <c r="H9" s="16" t="str">
        <f>'N TRIBUTARIO'!H83</f>
        <v>0508</v>
      </c>
      <c r="I9" s="16">
        <f>'N TRIBUTARIO'!I83</f>
        <v>0</v>
      </c>
      <c r="J9" s="16" t="s">
        <v>725</v>
      </c>
      <c r="K9" s="16" t="str">
        <f>'N TRIBUTARIO'!J83</f>
        <v>JICALAPA</v>
      </c>
      <c r="L9" s="16" t="str">
        <f>'N TRIBUTARIO'!K83</f>
        <v>COSTA</v>
      </c>
      <c r="M9" s="16" t="str">
        <f>'N TRIBUTARIO'!L83</f>
        <v>LA LIBERTAD</v>
      </c>
      <c r="N9" s="16">
        <f>'N TRIBUTARIO'!M83</f>
        <v>0</v>
      </c>
      <c r="O9" s="16">
        <f>'N TRIBUTARIO'!N83</f>
        <v>1</v>
      </c>
      <c r="P9" s="16">
        <f>'N TRIBUTARIO'!O83</f>
        <v>0</v>
      </c>
      <c r="Q9" s="16">
        <f>'N TRIBUTARIO'!P83</f>
        <v>0</v>
      </c>
      <c r="R9" s="16">
        <f>'N TRIBUTARIO'!Q83</f>
        <v>0</v>
      </c>
      <c r="S9" s="16">
        <f>'N TRIBUTARIO'!R83</f>
        <v>0</v>
      </c>
      <c r="T9" s="16">
        <f>'N TRIBUTARIO'!S83</f>
        <v>0</v>
      </c>
      <c r="U9" s="16" t="str">
        <f>'N TRIBUTARIO'!T83</f>
        <v>-</v>
      </c>
      <c r="V9" s="16" t="str">
        <f>'N TRIBUTARIO'!U83</f>
        <v xml:space="preserve"> </v>
      </c>
      <c r="W9" s="16" t="str">
        <f>'N TRIBUTARIO'!V83</f>
        <v>JICALAPA-0508-COSTA</v>
      </c>
      <c r="X9" s="16" t="str">
        <f>'N TRIBUTARIO'!W83</f>
        <v>0508-051079-001-9</v>
      </c>
      <c r="Y9" s="16" t="str">
        <f>'N TRIBUTARIO'!X83</f>
        <v>JICALAPA COSTA</v>
      </c>
      <c r="Z9" s="16" t="str">
        <f>'N TRIBUTARIO'!Y83</f>
        <v>0508-051079-001-9 JICALAPA COSTA</v>
      </c>
      <c r="AA9" s="16" t="str">
        <f>'N TRIBUTARIO'!Z83</f>
        <v>0508 JICALAPA-COSTA</v>
      </c>
      <c r="AB9" s="16">
        <f>'N TRIBUTARIO'!AA83</f>
        <v>0</v>
      </c>
      <c r="AC9" s="16">
        <f>'N TRIBUTARIO'!AB83</f>
        <v>0</v>
      </c>
      <c r="AD9" s="16">
        <f>'N TRIBUTARIO'!AC83</f>
        <v>0</v>
      </c>
    </row>
    <row r="10" spans="1:30" ht="19" customHeight="1" x14ac:dyDescent="0.4">
      <c r="A10" s="16" t="str">
        <f>'N TRIBUTARIO'!A84</f>
        <v>C2</v>
      </c>
      <c r="B10" s="16" t="str">
        <f>'N TRIBUTARIO'!B84</f>
        <v>01</v>
      </c>
      <c r="C10" s="16" t="str">
        <f>'N TRIBUTARIO'!C84</f>
        <v>06</v>
      </c>
      <c r="D10" s="16" t="str">
        <f>'N TRIBUTARIO'!D84</f>
        <v>11</v>
      </c>
      <c r="E10" s="16" t="str">
        <f>'N TRIBUTARIO'!E84</f>
        <v>001</v>
      </c>
      <c r="F10" s="16">
        <f>'N TRIBUTARIO'!F84</f>
        <v>8</v>
      </c>
      <c r="G10" s="16">
        <f>'N TRIBUTARIO'!G84</f>
        <v>83</v>
      </c>
      <c r="H10" s="16" t="str">
        <f>'N TRIBUTARIO'!H84</f>
        <v>0509</v>
      </c>
      <c r="I10" s="16">
        <f>'N TRIBUTARIO'!I84</f>
        <v>5</v>
      </c>
      <c r="J10" s="16" t="s">
        <v>725</v>
      </c>
      <c r="K10" s="16" t="str">
        <f>'N TRIBUTARIO'!J84</f>
        <v>LA LIBERTAD</v>
      </c>
      <c r="L10" s="16" t="str">
        <f>'N TRIBUTARIO'!K84</f>
        <v>costa</v>
      </c>
      <c r="M10" s="16" t="str">
        <f>'N TRIBUTARIO'!L84</f>
        <v>LA LIBERTAD COSTA</v>
      </c>
      <c r="N10" s="16">
        <f>'N TRIBUTARIO'!M84</f>
        <v>0</v>
      </c>
      <c r="O10" s="16">
        <f>'N TRIBUTARIO'!N84</f>
        <v>1</v>
      </c>
      <c r="P10" s="16">
        <f>'N TRIBUTARIO'!O84</f>
        <v>0</v>
      </c>
      <c r="Q10" s="16">
        <f>'N TRIBUTARIO'!P84</f>
        <v>0</v>
      </c>
      <c r="R10" s="16">
        <f>'N TRIBUTARIO'!Q84</f>
        <v>0</v>
      </c>
      <c r="S10" s="16">
        <f>'N TRIBUTARIO'!R84</f>
        <v>0</v>
      </c>
      <c r="T10" s="16">
        <f>'N TRIBUTARIO'!S84</f>
        <v>0</v>
      </c>
      <c r="U10" s="16" t="str">
        <f>'N TRIBUTARIO'!T84</f>
        <v>-</v>
      </c>
      <c r="V10" s="16" t="str">
        <f>'N TRIBUTARIO'!U84</f>
        <v xml:space="preserve"> </v>
      </c>
      <c r="W10" s="16" t="str">
        <f>'N TRIBUTARIO'!V84</f>
        <v>LA LIBERTAD-0509-costa</v>
      </c>
      <c r="X10" s="16" t="str">
        <f>'N TRIBUTARIO'!W84</f>
        <v>0509-010611-001-8</v>
      </c>
      <c r="Y10" s="16" t="str">
        <f>'N TRIBUTARIO'!X84</f>
        <v>LA LIBERTAD costa</v>
      </c>
      <c r="Z10" s="16" t="str">
        <f>'N TRIBUTARIO'!Y84</f>
        <v>0509-010611-001-8 LA LIBERTAD costa</v>
      </c>
      <c r="AA10" s="16" t="str">
        <f>'N TRIBUTARIO'!Z84</f>
        <v>0509 LA LIBERTAD-costa</v>
      </c>
      <c r="AB10" s="16">
        <f>'N TRIBUTARIO'!AA84</f>
        <v>0</v>
      </c>
      <c r="AC10" s="16">
        <f>'N TRIBUTARIO'!AB84</f>
        <v>0</v>
      </c>
      <c r="AD10" s="16">
        <f>'N TRIBUTARIO'!AC84</f>
        <v>0</v>
      </c>
    </row>
    <row r="11" spans="1:30" ht="19" customHeight="1" x14ac:dyDescent="0.4">
      <c r="A11" s="16">
        <f>'N TRIBUTARIO'!A85</f>
        <v>0</v>
      </c>
      <c r="B11" s="16" t="str">
        <f>'N TRIBUTARIO'!B85</f>
        <v>05</v>
      </c>
      <c r="C11" s="16" t="str">
        <f>'N TRIBUTARIO'!C85</f>
        <v>10</v>
      </c>
      <c r="D11" s="16" t="str">
        <f>'N TRIBUTARIO'!D85</f>
        <v>79</v>
      </c>
      <c r="E11" s="16" t="str">
        <f>'N TRIBUTARIO'!E85</f>
        <v>001</v>
      </c>
      <c r="F11" s="16">
        <f>'N TRIBUTARIO'!F85</f>
        <v>0</v>
      </c>
      <c r="G11" s="16">
        <f>'N TRIBUTARIO'!G85</f>
        <v>84</v>
      </c>
      <c r="H11" s="16" t="str">
        <f>'N TRIBUTARIO'!H85</f>
        <v>0510</v>
      </c>
      <c r="I11" s="16">
        <f>'N TRIBUTARIO'!I85</f>
        <v>0</v>
      </c>
      <c r="J11" s="16" t="s">
        <v>725</v>
      </c>
      <c r="K11" s="16" t="str">
        <f>'N TRIBUTARIO'!J85</f>
        <v>NUEVO CUSCATLAN</v>
      </c>
      <c r="L11" s="16" t="str">
        <f>'N TRIBUTARIO'!K85</f>
        <v>ESTE</v>
      </c>
      <c r="M11" s="16" t="str">
        <f>'N TRIBUTARIO'!L85</f>
        <v>LA LIBERTAD</v>
      </c>
      <c r="N11" s="16">
        <f>'N TRIBUTARIO'!M85</f>
        <v>0</v>
      </c>
      <c r="O11" s="16">
        <f>'N TRIBUTARIO'!N85</f>
        <v>0</v>
      </c>
      <c r="P11" s="16">
        <f>'N TRIBUTARIO'!O85</f>
        <v>1</v>
      </c>
      <c r="Q11" s="16">
        <f>'N TRIBUTARIO'!P85</f>
        <v>0</v>
      </c>
      <c r="R11" s="16">
        <f>'N TRIBUTARIO'!Q85</f>
        <v>0</v>
      </c>
      <c r="S11" s="16">
        <f>'N TRIBUTARIO'!R85</f>
        <v>0</v>
      </c>
      <c r="T11" s="16">
        <f>'N TRIBUTARIO'!S85</f>
        <v>0</v>
      </c>
      <c r="U11" s="16" t="str">
        <f>'N TRIBUTARIO'!T85</f>
        <v>-</v>
      </c>
      <c r="V11" s="16" t="str">
        <f>'N TRIBUTARIO'!U85</f>
        <v xml:space="preserve"> </v>
      </c>
      <c r="W11" s="16" t="str">
        <f>'N TRIBUTARIO'!V85</f>
        <v>NUEVO CUSCATLAN-0510-ESTE</v>
      </c>
      <c r="X11" s="16" t="str">
        <f>'N TRIBUTARIO'!W85</f>
        <v>0510-051079-001-0</v>
      </c>
      <c r="Y11" s="16" t="str">
        <f>'N TRIBUTARIO'!X85</f>
        <v>NUEVO CUSCATLAN ESTE</v>
      </c>
      <c r="Z11" s="16" t="str">
        <f>'N TRIBUTARIO'!Y85</f>
        <v>0510-051079-001-0 NUEVO CUSCATLAN ESTE</v>
      </c>
      <c r="AA11" s="16" t="str">
        <f>'N TRIBUTARIO'!Z85</f>
        <v>0510 NUEVO CUSCATLAN-ESTE</v>
      </c>
      <c r="AB11" s="16">
        <f>'N TRIBUTARIO'!AA85</f>
        <v>0</v>
      </c>
      <c r="AC11" s="16">
        <f>'N TRIBUTARIO'!AB85</f>
        <v>0</v>
      </c>
      <c r="AD11" s="16">
        <f>'N TRIBUTARIO'!AC85</f>
        <v>0</v>
      </c>
    </row>
    <row r="12" spans="1:30" ht="19" customHeight="1" x14ac:dyDescent="0.4">
      <c r="A12" s="16" t="str">
        <f>'N TRIBUTARIO'!A86</f>
        <v>S1</v>
      </c>
      <c r="B12" s="16" t="str">
        <f>'N TRIBUTARIO'!B86</f>
        <v>01</v>
      </c>
      <c r="C12" s="16" t="str">
        <f>'N TRIBUTARIO'!C86</f>
        <v>06</v>
      </c>
      <c r="D12" s="16" t="str">
        <f>'N TRIBUTARIO'!D86</f>
        <v>11</v>
      </c>
      <c r="E12" s="16" t="str">
        <f>'N TRIBUTARIO'!E86</f>
        <v>001</v>
      </c>
      <c r="F12" s="16">
        <f>'N TRIBUTARIO'!F86</f>
        <v>9</v>
      </c>
      <c r="G12" s="16">
        <f>'N TRIBUTARIO'!G86</f>
        <v>85</v>
      </c>
      <c r="H12" s="16" t="str">
        <f>'N TRIBUTARIO'!H86</f>
        <v>0511</v>
      </c>
      <c r="I12" s="16">
        <f>'N TRIBUTARIO'!I86</f>
        <v>0</v>
      </c>
      <c r="J12" s="16" t="s">
        <v>725</v>
      </c>
      <c r="K12" s="16" t="str">
        <f>'N TRIBUTARIO'!J86</f>
        <v>SANTA TECLA</v>
      </c>
      <c r="L12" s="16" t="str">
        <f>'N TRIBUTARIO'!K86</f>
        <v>SUR</v>
      </c>
      <c r="M12" s="16" t="str">
        <f>'N TRIBUTARIO'!L86</f>
        <v>LA LIBERTAD</v>
      </c>
      <c r="N12" s="16">
        <f>'N TRIBUTARIO'!M86</f>
        <v>0</v>
      </c>
      <c r="O12" s="16">
        <f>'N TRIBUTARIO'!N86</f>
        <v>0</v>
      </c>
      <c r="P12" s="16">
        <f>'N TRIBUTARIO'!O86</f>
        <v>0</v>
      </c>
      <c r="Q12" s="16">
        <f>'N TRIBUTARIO'!P86</f>
        <v>0</v>
      </c>
      <c r="R12" s="16">
        <f>'N TRIBUTARIO'!Q86</f>
        <v>0</v>
      </c>
      <c r="S12" s="16">
        <f>'N TRIBUTARIO'!R86</f>
        <v>1</v>
      </c>
      <c r="T12" s="16">
        <f>'N TRIBUTARIO'!S86</f>
        <v>0</v>
      </c>
      <c r="U12" s="16" t="str">
        <f>'N TRIBUTARIO'!T86</f>
        <v>-</v>
      </c>
      <c r="V12" s="16" t="str">
        <f>'N TRIBUTARIO'!U86</f>
        <v xml:space="preserve"> </v>
      </c>
      <c r="W12" s="16" t="str">
        <f>'N TRIBUTARIO'!V86</f>
        <v>SANTA TECLA-0511-SUR</v>
      </c>
      <c r="X12" s="16" t="str">
        <f>'N TRIBUTARIO'!W86</f>
        <v>0511-010611-001-9</v>
      </c>
      <c r="Y12" s="16" t="str">
        <f>'N TRIBUTARIO'!X86</f>
        <v>SANTA TECLA SUR</v>
      </c>
      <c r="Z12" s="16" t="str">
        <f>'N TRIBUTARIO'!Y86</f>
        <v>0511-010611-001-9 SANTA TECLA SUR</v>
      </c>
      <c r="AA12" s="16" t="str">
        <f>'N TRIBUTARIO'!Z86</f>
        <v>0511 SANTA TECLA-SUR</v>
      </c>
      <c r="AB12" s="16">
        <f>'N TRIBUTARIO'!AA86</f>
        <v>187.25</v>
      </c>
      <c r="AC12" s="16">
        <f>'N TRIBUTARIO'!AB86</f>
        <v>135908</v>
      </c>
      <c r="AD12" s="16">
        <f>'N TRIBUTARIO'!AC86</f>
        <v>725.81</v>
      </c>
    </row>
    <row r="13" spans="1:30" ht="19" customHeight="1" x14ac:dyDescent="0.4">
      <c r="A13" s="16">
        <f>'N TRIBUTARIO'!A87</f>
        <v>0</v>
      </c>
      <c r="B13" s="16" t="str">
        <f>'N TRIBUTARIO'!B87</f>
        <v>01</v>
      </c>
      <c r="C13" s="16" t="str">
        <f>'N TRIBUTARIO'!C87</f>
        <v>06</v>
      </c>
      <c r="D13" s="16" t="str">
        <f>'N TRIBUTARIO'!D87</f>
        <v>11</v>
      </c>
      <c r="E13" s="16" t="str">
        <f>'N TRIBUTARIO'!E87</f>
        <v>001</v>
      </c>
      <c r="F13" s="16">
        <f>'N TRIBUTARIO'!F87</f>
        <v>9</v>
      </c>
      <c r="G13" s="16">
        <f>'N TRIBUTARIO'!G87</f>
        <v>86</v>
      </c>
      <c r="H13" s="16" t="str">
        <f>'N TRIBUTARIO'!H87</f>
        <v>0512</v>
      </c>
      <c r="I13" s="16">
        <f>'N TRIBUTARIO'!I87</f>
        <v>0</v>
      </c>
      <c r="J13" s="16" t="s">
        <v>725</v>
      </c>
      <c r="K13" s="16" t="str">
        <f>'N TRIBUTARIO'!J87</f>
        <v>QUEZALTEPEQUE</v>
      </c>
      <c r="L13" s="16" t="str">
        <f>'N TRIBUTARIO'!K87</f>
        <v>NORTE</v>
      </c>
      <c r="M13" s="16" t="str">
        <f>'N TRIBUTARIO'!L87</f>
        <v>LA LIBERTAD</v>
      </c>
      <c r="N13" s="16">
        <f>'N TRIBUTARIO'!M87</f>
        <v>0</v>
      </c>
      <c r="O13" s="16">
        <f>'N TRIBUTARIO'!N87</f>
        <v>0</v>
      </c>
      <c r="P13" s="16">
        <f>'N TRIBUTARIO'!O87</f>
        <v>0</v>
      </c>
      <c r="Q13" s="16">
        <f>'N TRIBUTARIO'!P87</f>
        <v>1</v>
      </c>
      <c r="R13" s="16">
        <f>'N TRIBUTARIO'!Q87</f>
        <v>0</v>
      </c>
      <c r="S13" s="16">
        <f>'N TRIBUTARIO'!R87</f>
        <v>0</v>
      </c>
      <c r="T13" s="16">
        <f>'N TRIBUTARIO'!S87</f>
        <v>0</v>
      </c>
      <c r="U13" s="16" t="str">
        <f>'N TRIBUTARIO'!T87</f>
        <v>-</v>
      </c>
      <c r="V13" s="16" t="str">
        <f>'N TRIBUTARIO'!U87</f>
        <v xml:space="preserve"> </v>
      </c>
      <c r="W13" s="16" t="str">
        <f>'N TRIBUTARIO'!V87</f>
        <v>QUEZALTEPEQUE-0512-NORTE</v>
      </c>
      <c r="X13" s="16" t="str">
        <f>'N TRIBUTARIO'!W87</f>
        <v>0512-010611-001-9</v>
      </c>
      <c r="Y13" s="16" t="str">
        <f>'N TRIBUTARIO'!X87</f>
        <v>QUEZALTEPEQUE NORTE</v>
      </c>
      <c r="Z13" s="16" t="str">
        <f>'N TRIBUTARIO'!Y87</f>
        <v>0512-010611-001-9 QUEZALTEPEQUE NORTE</v>
      </c>
      <c r="AA13" s="16" t="str">
        <f>'N TRIBUTARIO'!Z87</f>
        <v>0512 QUEZALTEPEQUE-NORTE</v>
      </c>
      <c r="AB13" s="16">
        <f>'N TRIBUTARIO'!AA87</f>
        <v>307.39</v>
      </c>
      <c r="AC13" s="16">
        <f>'N TRIBUTARIO'!AB87</f>
        <v>94800</v>
      </c>
      <c r="AD13" s="16">
        <f>'N TRIBUTARIO'!AC87</f>
        <v>308.39999999999998</v>
      </c>
    </row>
    <row r="14" spans="1:30" ht="19" customHeight="1" x14ac:dyDescent="0.4">
      <c r="A14" s="16">
        <f>'N TRIBUTARIO'!A88</f>
        <v>0</v>
      </c>
      <c r="B14" s="16" t="str">
        <f>'N TRIBUTARIO'!B88</f>
        <v>05</v>
      </c>
      <c r="C14" s="16" t="str">
        <f>'N TRIBUTARIO'!C88</f>
        <v>10</v>
      </c>
      <c r="D14" s="16" t="str">
        <f>'N TRIBUTARIO'!D88</f>
        <v>79</v>
      </c>
      <c r="E14" s="16" t="str">
        <f>'N TRIBUTARIO'!E88</f>
        <v>001</v>
      </c>
      <c r="F14" s="16">
        <f>'N TRIBUTARIO'!F88</f>
        <v>0</v>
      </c>
      <c r="G14" s="16">
        <f>'N TRIBUTARIO'!G88</f>
        <v>87</v>
      </c>
      <c r="H14" s="16" t="str">
        <f>'N TRIBUTARIO'!H88</f>
        <v>0513</v>
      </c>
      <c r="I14" s="16">
        <f>'N TRIBUTARIO'!I88</f>
        <v>0</v>
      </c>
      <c r="J14" s="16" t="s">
        <v>725</v>
      </c>
      <c r="K14" s="16" t="str">
        <f>'N TRIBUTARIO'!J88</f>
        <v>SACACOYO</v>
      </c>
      <c r="L14" s="16" t="str">
        <f>'N TRIBUTARIO'!K88</f>
        <v>OESTE</v>
      </c>
      <c r="M14" s="16" t="str">
        <f>'N TRIBUTARIO'!L88</f>
        <v>LA LIBERTAD</v>
      </c>
      <c r="N14" s="16">
        <f>'N TRIBUTARIO'!M88</f>
        <v>0</v>
      </c>
      <c r="O14" s="16">
        <f>'N TRIBUTARIO'!N88</f>
        <v>0</v>
      </c>
      <c r="P14" s="16">
        <f>'N TRIBUTARIO'!O88</f>
        <v>0</v>
      </c>
      <c r="Q14" s="16">
        <f>'N TRIBUTARIO'!P88</f>
        <v>0</v>
      </c>
      <c r="R14" s="16">
        <f>'N TRIBUTARIO'!Q88</f>
        <v>1</v>
      </c>
      <c r="S14" s="16">
        <f>'N TRIBUTARIO'!R88</f>
        <v>0</v>
      </c>
      <c r="T14" s="16">
        <f>'N TRIBUTARIO'!S88</f>
        <v>0</v>
      </c>
      <c r="U14" s="16" t="str">
        <f>'N TRIBUTARIO'!T88</f>
        <v>-</v>
      </c>
      <c r="V14" s="16" t="str">
        <f>'N TRIBUTARIO'!U88</f>
        <v xml:space="preserve"> </v>
      </c>
      <c r="W14" s="16" t="str">
        <f>'N TRIBUTARIO'!V88</f>
        <v>SACACOYO-0513-OESTE</v>
      </c>
      <c r="X14" s="16" t="str">
        <f>'N TRIBUTARIO'!W88</f>
        <v>0513-051079-001-0</v>
      </c>
      <c r="Y14" s="16" t="str">
        <f>'N TRIBUTARIO'!X88</f>
        <v>SACACOYO OESTE</v>
      </c>
      <c r="Z14" s="16" t="str">
        <f>'N TRIBUTARIO'!Y88</f>
        <v>0513-051079-001-0 SACACOYO OESTE</v>
      </c>
      <c r="AA14" s="16" t="str">
        <f>'N TRIBUTARIO'!Z88</f>
        <v>0513 SACACOYO-OESTE</v>
      </c>
      <c r="AB14" s="16">
        <f>'N TRIBUTARIO'!AA88</f>
        <v>0</v>
      </c>
      <c r="AC14" s="16">
        <f>'N TRIBUTARIO'!AB88</f>
        <v>0</v>
      </c>
      <c r="AD14" s="16">
        <f>'N TRIBUTARIO'!AC88</f>
        <v>0</v>
      </c>
    </row>
    <row r="15" spans="1:30" ht="19" customHeight="1" x14ac:dyDescent="0.4">
      <c r="A15" s="16">
        <f>'N TRIBUTARIO'!A89</f>
        <v>0</v>
      </c>
      <c r="B15" s="16" t="str">
        <f>'N TRIBUTARIO'!B89</f>
        <v>05</v>
      </c>
      <c r="C15" s="16" t="str">
        <f>'N TRIBUTARIO'!C89</f>
        <v>10</v>
      </c>
      <c r="D15" s="16" t="str">
        <f>'N TRIBUTARIO'!D89</f>
        <v>79</v>
      </c>
      <c r="E15" s="16" t="str">
        <f>'N TRIBUTARIO'!E89</f>
        <v>001</v>
      </c>
      <c r="F15" s="16">
        <f>'N TRIBUTARIO'!F89</f>
        <v>0</v>
      </c>
      <c r="G15" s="16">
        <f>'N TRIBUTARIO'!G89</f>
        <v>88</v>
      </c>
      <c r="H15" s="16" t="str">
        <f>'N TRIBUTARIO'!H89</f>
        <v>0514</v>
      </c>
      <c r="I15" s="16">
        <f>'N TRIBUTARIO'!I89</f>
        <v>0</v>
      </c>
      <c r="J15" s="16" t="s">
        <v>725</v>
      </c>
      <c r="K15" s="16" t="str">
        <f>'N TRIBUTARIO'!J89</f>
        <v>SAN JOSE VILLANUEVA</v>
      </c>
      <c r="L15" s="16" t="str">
        <f>'N TRIBUTARIO'!K89</f>
        <v>ESTE</v>
      </c>
      <c r="M15" s="16" t="str">
        <f>'N TRIBUTARIO'!L89</f>
        <v>LA LIBERTAD</v>
      </c>
      <c r="N15" s="16">
        <f>'N TRIBUTARIO'!M89</f>
        <v>0</v>
      </c>
      <c r="O15" s="16">
        <f>'N TRIBUTARIO'!N89</f>
        <v>0</v>
      </c>
      <c r="P15" s="16">
        <f>'N TRIBUTARIO'!O89</f>
        <v>1</v>
      </c>
      <c r="Q15" s="16">
        <f>'N TRIBUTARIO'!P89</f>
        <v>0</v>
      </c>
      <c r="R15" s="16">
        <f>'N TRIBUTARIO'!Q89</f>
        <v>0</v>
      </c>
      <c r="S15" s="16">
        <f>'N TRIBUTARIO'!R89</f>
        <v>0</v>
      </c>
      <c r="T15" s="16">
        <f>'N TRIBUTARIO'!S89</f>
        <v>0</v>
      </c>
      <c r="U15" s="16" t="str">
        <f>'N TRIBUTARIO'!T89</f>
        <v>-</v>
      </c>
      <c r="V15" s="16" t="str">
        <f>'N TRIBUTARIO'!U89</f>
        <v xml:space="preserve"> </v>
      </c>
      <c r="W15" s="16" t="str">
        <f>'N TRIBUTARIO'!V89</f>
        <v>SAN JOSE VILLANUEVA-0514-ESTE</v>
      </c>
      <c r="X15" s="16" t="str">
        <f>'N TRIBUTARIO'!W89</f>
        <v>0514-051079-001-0</v>
      </c>
      <c r="Y15" s="16" t="str">
        <f>'N TRIBUTARIO'!X89</f>
        <v>SAN JOSE VILLANUEVA ESTE</v>
      </c>
      <c r="Z15" s="16" t="str">
        <f>'N TRIBUTARIO'!Y89</f>
        <v>0514-051079-001-0 SAN JOSE VILLANUEVA ESTE</v>
      </c>
      <c r="AA15" s="16" t="str">
        <f>'N TRIBUTARIO'!Z89</f>
        <v>0514 SAN JOSE VILLANUEVA-ESTE</v>
      </c>
      <c r="AB15" s="16">
        <f>'N TRIBUTARIO'!AA89</f>
        <v>0</v>
      </c>
      <c r="AC15" s="16">
        <f>'N TRIBUTARIO'!AB89</f>
        <v>0</v>
      </c>
      <c r="AD15" s="16">
        <f>'N TRIBUTARIO'!AC89</f>
        <v>0</v>
      </c>
    </row>
    <row r="16" spans="1:30" ht="19" customHeight="1" x14ac:dyDescent="0.4">
      <c r="A16" s="16" t="str">
        <f>'N TRIBUTARIO'!A90</f>
        <v>1C</v>
      </c>
      <c r="B16" s="16" t="str">
        <f>'N TRIBUTARIO'!B90</f>
        <v>01</v>
      </c>
      <c r="C16" s="16" t="str">
        <f>'N TRIBUTARIO'!C90</f>
        <v>06</v>
      </c>
      <c r="D16" s="16" t="str">
        <f>'N TRIBUTARIO'!D90</f>
        <v>11</v>
      </c>
      <c r="E16" s="16" t="str">
        <f>'N TRIBUTARIO'!E90</f>
        <v>001</v>
      </c>
      <c r="F16" s="16">
        <f>'N TRIBUTARIO'!F90</f>
        <v>9</v>
      </c>
      <c r="G16" s="16">
        <f>'N TRIBUTARIO'!G90</f>
        <v>89</v>
      </c>
      <c r="H16" s="16" t="str">
        <f>'N TRIBUTARIO'!H90</f>
        <v>0515</v>
      </c>
      <c r="I16" s="16">
        <f>'N TRIBUTARIO'!I90</f>
        <v>0</v>
      </c>
      <c r="J16" s="16" t="s">
        <v>725</v>
      </c>
      <c r="K16" s="16" t="str">
        <f>'N TRIBUTARIO'!J90</f>
        <v>SAN JUAN OPICO</v>
      </c>
      <c r="L16" s="16" t="str">
        <f>'N TRIBUTARIO'!K90</f>
        <v>CENTRO</v>
      </c>
      <c r="M16" s="16" t="str">
        <f>'N TRIBUTARIO'!L90</f>
        <v>LA LIBERTAD</v>
      </c>
      <c r="N16" s="16">
        <f>'N TRIBUTARIO'!M90</f>
        <v>1</v>
      </c>
      <c r="O16" s="16">
        <f>'N TRIBUTARIO'!N90</f>
        <v>0</v>
      </c>
      <c r="P16" s="16">
        <f>'N TRIBUTARIO'!O90</f>
        <v>0</v>
      </c>
      <c r="Q16" s="16">
        <f>'N TRIBUTARIO'!P90</f>
        <v>0</v>
      </c>
      <c r="R16" s="16">
        <f>'N TRIBUTARIO'!Q90</f>
        <v>0</v>
      </c>
      <c r="S16" s="16">
        <f>'N TRIBUTARIO'!R90</f>
        <v>0</v>
      </c>
      <c r="T16" s="16">
        <f>'N TRIBUTARIO'!S90</f>
        <v>0</v>
      </c>
      <c r="U16" s="16" t="str">
        <f>'N TRIBUTARIO'!T90</f>
        <v>-</v>
      </c>
      <c r="V16" s="16" t="str">
        <f>'N TRIBUTARIO'!U90</f>
        <v xml:space="preserve"> </v>
      </c>
      <c r="W16" s="16" t="str">
        <f>'N TRIBUTARIO'!V90</f>
        <v>SAN JUAN OPICO-0515-CENTRO</v>
      </c>
      <c r="X16" s="16" t="str">
        <f>'N TRIBUTARIO'!W90</f>
        <v>0515-010611-001-9</v>
      </c>
      <c r="Y16" s="16" t="str">
        <f>'N TRIBUTARIO'!X90</f>
        <v>SAN JUAN OPICO CENTRO</v>
      </c>
      <c r="Z16" s="16" t="str">
        <f>'N TRIBUTARIO'!Y90</f>
        <v>0515-010611-001-9 SAN JUAN OPICO CENTRO</v>
      </c>
      <c r="AA16" s="16" t="str">
        <f>'N TRIBUTARIO'!Z90</f>
        <v>0515 SAN JUAN OPICO-CENTRO</v>
      </c>
      <c r="AB16" s="16">
        <f>'N TRIBUTARIO'!AA90</f>
        <v>305.7</v>
      </c>
      <c r="AC16" s="16">
        <f>'N TRIBUTARIO'!AB90</f>
        <v>141280</v>
      </c>
      <c r="AD16" s="16">
        <f>'N TRIBUTARIO'!AC90</f>
        <v>462.15</v>
      </c>
    </row>
    <row r="17" spans="1:30" ht="19" customHeight="1" x14ac:dyDescent="0.4">
      <c r="A17" s="16">
        <f>'N TRIBUTARIO'!A91</f>
        <v>0</v>
      </c>
      <c r="B17" s="16" t="str">
        <f>'N TRIBUTARIO'!B91</f>
        <v>05</v>
      </c>
      <c r="C17" s="16" t="str">
        <f>'N TRIBUTARIO'!C91</f>
        <v>10</v>
      </c>
      <c r="D17" s="16" t="str">
        <f>'N TRIBUTARIO'!D91</f>
        <v>79</v>
      </c>
      <c r="E17" s="16" t="str">
        <f>'N TRIBUTARIO'!E91</f>
        <v>001</v>
      </c>
      <c r="F17" s="16">
        <f>'N TRIBUTARIO'!F91</f>
        <v>0</v>
      </c>
      <c r="G17" s="16">
        <f>'N TRIBUTARIO'!G91</f>
        <v>90</v>
      </c>
      <c r="H17" s="16" t="str">
        <f>'N TRIBUTARIO'!H91</f>
        <v>0516</v>
      </c>
      <c r="I17" s="16">
        <f>'N TRIBUTARIO'!I91</f>
        <v>0</v>
      </c>
      <c r="J17" s="16" t="s">
        <v>725</v>
      </c>
      <c r="K17" s="16" t="str">
        <f>'N TRIBUTARIO'!J91</f>
        <v>SAN MATIAS</v>
      </c>
      <c r="L17" s="16" t="str">
        <f>'N TRIBUTARIO'!K91</f>
        <v>NORTE</v>
      </c>
      <c r="M17" s="16" t="str">
        <f>'N TRIBUTARIO'!L91</f>
        <v>LA LIBERTAD</v>
      </c>
      <c r="N17" s="16">
        <f>'N TRIBUTARIO'!M91</f>
        <v>0</v>
      </c>
      <c r="O17" s="16">
        <f>'N TRIBUTARIO'!N91</f>
        <v>0</v>
      </c>
      <c r="P17" s="16">
        <f>'N TRIBUTARIO'!O91</f>
        <v>0</v>
      </c>
      <c r="Q17" s="16">
        <f>'N TRIBUTARIO'!P91</f>
        <v>1</v>
      </c>
      <c r="R17" s="16">
        <f>'N TRIBUTARIO'!Q91</f>
        <v>0</v>
      </c>
      <c r="S17" s="16">
        <f>'N TRIBUTARIO'!R91</f>
        <v>0</v>
      </c>
      <c r="T17" s="16">
        <f>'N TRIBUTARIO'!S91</f>
        <v>0</v>
      </c>
      <c r="U17" s="16" t="str">
        <f>'N TRIBUTARIO'!T91</f>
        <v>-</v>
      </c>
      <c r="V17" s="16" t="str">
        <f>'N TRIBUTARIO'!U91</f>
        <v xml:space="preserve"> </v>
      </c>
      <c r="W17" s="16" t="str">
        <f>'N TRIBUTARIO'!V91</f>
        <v>SAN MATIAS-0516-NORTE</v>
      </c>
      <c r="X17" s="16" t="str">
        <f>'N TRIBUTARIO'!W91</f>
        <v>0516-051079-001-0</v>
      </c>
      <c r="Y17" s="16" t="str">
        <f>'N TRIBUTARIO'!X91</f>
        <v>SAN MATIAS NORTE</v>
      </c>
      <c r="Z17" s="16" t="str">
        <f>'N TRIBUTARIO'!Y91</f>
        <v>0516-051079-001-0 SAN MATIAS NORTE</v>
      </c>
      <c r="AA17" s="16" t="str">
        <f>'N TRIBUTARIO'!Z91</f>
        <v>0516 SAN MATIAS-NORTE</v>
      </c>
      <c r="AB17" s="16">
        <f>'N TRIBUTARIO'!AA91</f>
        <v>0</v>
      </c>
      <c r="AC17" s="16">
        <f>'N TRIBUTARIO'!AB91</f>
        <v>0</v>
      </c>
      <c r="AD17" s="16">
        <f>'N TRIBUTARIO'!AC91</f>
        <v>0</v>
      </c>
    </row>
    <row r="18" spans="1:30" ht="19" customHeight="1" x14ac:dyDescent="0.4">
      <c r="A18" s="16">
        <f>'N TRIBUTARIO'!A92</f>
        <v>0</v>
      </c>
      <c r="B18" s="16" t="str">
        <f>'N TRIBUTARIO'!B92</f>
        <v>05</v>
      </c>
      <c r="C18" s="16" t="str">
        <f>'N TRIBUTARIO'!C92</f>
        <v>10</v>
      </c>
      <c r="D18" s="16" t="str">
        <f>'N TRIBUTARIO'!D92</f>
        <v>79</v>
      </c>
      <c r="E18" s="16" t="str">
        <f>'N TRIBUTARIO'!E92</f>
        <v>001</v>
      </c>
      <c r="F18" s="16">
        <f>'N TRIBUTARIO'!F92</f>
        <v>0</v>
      </c>
      <c r="G18" s="16">
        <f>'N TRIBUTARIO'!G92</f>
        <v>91</v>
      </c>
      <c r="H18" s="16" t="str">
        <f>'N TRIBUTARIO'!H92</f>
        <v>0517</v>
      </c>
      <c r="I18" s="16">
        <f>'N TRIBUTARIO'!I92</f>
        <v>0</v>
      </c>
      <c r="J18" s="16" t="s">
        <v>725</v>
      </c>
      <c r="K18" s="16" t="str">
        <f>'N TRIBUTARIO'!J92</f>
        <v>SAN PABLO TACACHICO</v>
      </c>
      <c r="L18" s="16" t="str">
        <f>'N TRIBUTARIO'!K92</f>
        <v>NORTE</v>
      </c>
      <c r="M18" s="16" t="str">
        <f>'N TRIBUTARIO'!L92</f>
        <v>LA LIBERTAD</v>
      </c>
      <c r="N18" s="16">
        <f>'N TRIBUTARIO'!M92</f>
        <v>0</v>
      </c>
      <c r="O18" s="16">
        <f>'N TRIBUTARIO'!N92</f>
        <v>0</v>
      </c>
      <c r="P18" s="16">
        <f>'N TRIBUTARIO'!O92</f>
        <v>0</v>
      </c>
      <c r="Q18" s="16">
        <f>'N TRIBUTARIO'!P92</f>
        <v>1</v>
      </c>
      <c r="R18" s="16">
        <f>'N TRIBUTARIO'!Q92</f>
        <v>0</v>
      </c>
      <c r="S18" s="16">
        <f>'N TRIBUTARIO'!R92</f>
        <v>0</v>
      </c>
      <c r="T18" s="16">
        <f>'N TRIBUTARIO'!S92</f>
        <v>0</v>
      </c>
      <c r="U18" s="16" t="str">
        <f>'N TRIBUTARIO'!T92</f>
        <v>-</v>
      </c>
      <c r="V18" s="16" t="str">
        <f>'N TRIBUTARIO'!U92</f>
        <v xml:space="preserve"> </v>
      </c>
      <c r="W18" s="16" t="str">
        <f>'N TRIBUTARIO'!V92</f>
        <v>SAN PABLO TACACHICO-0517-NORTE</v>
      </c>
      <c r="X18" s="16" t="str">
        <f>'N TRIBUTARIO'!W92</f>
        <v>0517-051079-001-0</v>
      </c>
      <c r="Y18" s="16" t="str">
        <f>'N TRIBUTARIO'!X92</f>
        <v>SAN PABLO TACACHICO NORTE</v>
      </c>
      <c r="Z18" s="16" t="str">
        <f>'N TRIBUTARIO'!Y92</f>
        <v>0517-051079-001-0 SAN PABLO TACACHICO NORTE</v>
      </c>
      <c r="AA18" s="16" t="str">
        <f>'N TRIBUTARIO'!Z92</f>
        <v>0517 SAN PABLO TACACHICO-NORTE</v>
      </c>
      <c r="AB18" s="16">
        <f>'N TRIBUTARIO'!AA92</f>
        <v>0</v>
      </c>
      <c r="AC18" s="16">
        <f>'N TRIBUTARIO'!AB92</f>
        <v>0</v>
      </c>
      <c r="AD18" s="16">
        <f>'N TRIBUTARIO'!AC92</f>
        <v>0</v>
      </c>
    </row>
    <row r="19" spans="1:30" ht="19" customHeight="1" x14ac:dyDescent="0.4">
      <c r="A19" s="16">
        <f>'N TRIBUTARIO'!A93</f>
        <v>0</v>
      </c>
      <c r="B19" s="16" t="str">
        <f>'N TRIBUTARIO'!B93</f>
        <v>05</v>
      </c>
      <c r="C19" s="16" t="str">
        <f>'N TRIBUTARIO'!C93</f>
        <v>10</v>
      </c>
      <c r="D19" s="16" t="str">
        <f>'N TRIBUTARIO'!D93</f>
        <v>79</v>
      </c>
      <c r="E19" s="16" t="str">
        <f>'N TRIBUTARIO'!E93</f>
        <v>001</v>
      </c>
      <c r="F19" s="16">
        <f>'N TRIBUTARIO'!F93</f>
        <v>0</v>
      </c>
      <c r="G19" s="16">
        <f>'N TRIBUTARIO'!G93</f>
        <v>92</v>
      </c>
      <c r="H19" s="16" t="str">
        <f>'N TRIBUTARIO'!H93</f>
        <v>0518</v>
      </c>
      <c r="I19" s="16">
        <f>'N TRIBUTARIO'!I93</f>
        <v>0</v>
      </c>
      <c r="J19" s="16" t="s">
        <v>725</v>
      </c>
      <c r="K19" s="16" t="str">
        <f>'N TRIBUTARIO'!J93</f>
        <v>TAMANIQUE</v>
      </c>
      <c r="L19" s="16" t="str">
        <f>'N TRIBUTARIO'!K93</f>
        <v>COSTA</v>
      </c>
      <c r="M19" s="16" t="str">
        <f>'N TRIBUTARIO'!L93</f>
        <v>LA LIBERTAD</v>
      </c>
      <c r="N19" s="16">
        <f>'N TRIBUTARIO'!M93</f>
        <v>0</v>
      </c>
      <c r="O19" s="16">
        <f>'N TRIBUTARIO'!N93</f>
        <v>1</v>
      </c>
      <c r="P19" s="16">
        <f>'N TRIBUTARIO'!O93</f>
        <v>0</v>
      </c>
      <c r="Q19" s="16">
        <f>'N TRIBUTARIO'!P93</f>
        <v>0</v>
      </c>
      <c r="R19" s="16">
        <f>'N TRIBUTARIO'!Q93</f>
        <v>0</v>
      </c>
      <c r="S19" s="16">
        <f>'N TRIBUTARIO'!R93</f>
        <v>0</v>
      </c>
      <c r="T19" s="16">
        <f>'N TRIBUTARIO'!S93</f>
        <v>0</v>
      </c>
      <c r="U19" s="16" t="str">
        <f>'N TRIBUTARIO'!T93</f>
        <v>-</v>
      </c>
      <c r="V19" s="16" t="str">
        <f>'N TRIBUTARIO'!U93</f>
        <v xml:space="preserve"> </v>
      </c>
      <c r="W19" s="16" t="str">
        <f>'N TRIBUTARIO'!V93</f>
        <v>TAMANIQUE-0518-COSTA</v>
      </c>
      <c r="X19" s="16" t="str">
        <f>'N TRIBUTARIO'!W93</f>
        <v>0518-051079-001-0</v>
      </c>
      <c r="Y19" s="16" t="str">
        <f>'N TRIBUTARIO'!X93</f>
        <v>TAMANIQUE COSTA</v>
      </c>
      <c r="Z19" s="16" t="str">
        <f>'N TRIBUTARIO'!Y93</f>
        <v>0518-051079-001-0 TAMANIQUE COSTA</v>
      </c>
      <c r="AA19" s="16" t="str">
        <f>'N TRIBUTARIO'!Z93</f>
        <v>0518 TAMANIQUE-COSTA</v>
      </c>
      <c r="AB19" s="16">
        <f>'N TRIBUTARIO'!AA93</f>
        <v>0</v>
      </c>
      <c r="AC19" s="16">
        <f>'N TRIBUTARIO'!AB93</f>
        <v>0</v>
      </c>
      <c r="AD19" s="16">
        <f>'N TRIBUTARIO'!AC93</f>
        <v>0</v>
      </c>
    </row>
    <row r="20" spans="1:30" ht="19" customHeight="1" x14ac:dyDescent="0.4">
      <c r="A20" s="16">
        <f>'N TRIBUTARIO'!A94</f>
        <v>0</v>
      </c>
      <c r="B20" s="16" t="str">
        <f>'N TRIBUTARIO'!B94</f>
        <v>05</v>
      </c>
      <c r="C20" s="16" t="str">
        <f>'N TRIBUTARIO'!C94</f>
        <v>10</v>
      </c>
      <c r="D20" s="16" t="str">
        <f>'N TRIBUTARIO'!D94</f>
        <v>79</v>
      </c>
      <c r="E20" s="16" t="str">
        <f>'N TRIBUTARIO'!E94</f>
        <v>001</v>
      </c>
      <c r="F20" s="16">
        <f>'N TRIBUTARIO'!F94</f>
        <v>0</v>
      </c>
      <c r="G20" s="16">
        <f>'N TRIBUTARIO'!G94</f>
        <v>93</v>
      </c>
      <c r="H20" s="16" t="str">
        <f>'N TRIBUTARIO'!H94</f>
        <v>0519</v>
      </c>
      <c r="I20" s="16">
        <f>'N TRIBUTARIO'!I94</f>
        <v>0</v>
      </c>
      <c r="J20" s="16" t="s">
        <v>725</v>
      </c>
      <c r="K20" s="16" t="str">
        <f>'N TRIBUTARIO'!J94</f>
        <v>TALNIQUE</v>
      </c>
      <c r="L20" s="16" t="str">
        <f>'N TRIBUTARIO'!K94</f>
        <v>OESTE</v>
      </c>
      <c r="M20" s="16" t="str">
        <f>'N TRIBUTARIO'!L94</f>
        <v>LA LIBERTAD</v>
      </c>
      <c r="N20" s="16">
        <f>'N TRIBUTARIO'!M94</f>
        <v>0</v>
      </c>
      <c r="O20" s="16">
        <f>'N TRIBUTARIO'!N94</f>
        <v>0</v>
      </c>
      <c r="P20" s="16">
        <f>'N TRIBUTARIO'!O94</f>
        <v>0</v>
      </c>
      <c r="Q20" s="16">
        <f>'N TRIBUTARIO'!P94</f>
        <v>0</v>
      </c>
      <c r="R20" s="16">
        <f>'N TRIBUTARIO'!Q94</f>
        <v>1</v>
      </c>
      <c r="S20" s="16">
        <f>'N TRIBUTARIO'!R94</f>
        <v>0</v>
      </c>
      <c r="T20" s="16">
        <f>'N TRIBUTARIO'!S94</f>
        <v>0</v>
      </c>
      <c r="U20" s="16" t="str">
        <f>'N TRIBUTARIO'!T94</f>
        <v>-</v>
      </c>
      <c r="V20" s="16" t="str">
        <f>'N TRIBUTARIO'!U94</f>
        <v xml:space="preserve"> </v>
      </c>
      <c r="W20" s="16" t="str">
        <f>'N TRIBUTARIO'!V94</f>
        <v>TALNIQUE-0519-OESTE</v>
      </c>
      <c r="X20" s="16" t="str">
        <f>'N TRIBUTARIO'!W94</f>
        <v>0519-051079-001-0</v>
      </c>
      <c r="Y20" s="16" t="str">
        <f>'N TRIBUTARIO'!X94</f>
        <v>TALNIQUE OESTE</v>
      </c>
      <c r="Z20" s="16" t="str">
        <f>'N TRIBUTARIO'!Y94</f>
        <v>0519-051079-001-0 TALNIQUE OESTE</v>
      </c>
      <c r="AA20" s="16" t="str">
        <f>'N TRIBUTARIO'!Z94</f>
        <v>0519 TALNIQUE-OESTE</v>
      </c>
      <c r="AB20" s="16">
        <f>'N TRIBUTARIO'!AA94</f>
        <v>0</v>
      </c>
      <c r="AC20" s="16">
        <f>'N TRIBUTARIO'!AB94</f>
        <v>0</v>
      </c>
      <c r="AD20" s="16">
        <f>'N TRIBUTARIO'!AC94</f>
        <v>0</v>
      </c>
    </row>
    <row r="21" spans="1:30" ht="19" customHeight="1" x14ac:dyDescent="0.4">
      <c r="A21" s="16">
        <f>'N TRIBUTARIO'!A95</f>
        <v>0</v>
      </c>
      <c r="B21" s="16" t="str">
        <f>'N TRIBUTARIO'!B95</f>
        <v>05</v>
      </c>
      <c r="C21" s="16" t="str">
        <f>'N TRIBUTARIO'!C95</f>
        <v>10</v>
      </c>
      <c r="D21" s="16" t="str">
        <f>'N TRIBUTARIO'!D95</f>
        <v>79</v>
      </c>
      <c r="E21" s="16" t="str">
        <f>'N TRIBUTARIO'!E95</f>
        <v>001</v>
      </c>
      <c r="F21" s="16">
        <f>'N TRIBUTARIO'!F95</f>
        <v>0</v>
      </c>
      <c r="G21" s="16">
        <f>'N TRIBUTARIO'!G95</f>
        <v>94</v>
      </c>
      <c r="H21" s="16" t="str">
        <f>'N TRIBUTARIO'!H95</f>
        <v>0520</v>
      </c>
      <c r="I21" s="16">
        <f>'N TRIBUTARIO'!I95</f>
        <v>0</v>
      </c>
      <c r="J21" s="16" t="s">
        <v>725</v>
      </c>
      <c r="K21" s="16" t="str">
        <f>'N TRIBUTARIO'!J95</f>
        <v>TEOTEPEQUE</v>
      </c>
      <c r="L21" s="16" t="str">
        <f>'N TRIBUTARIO'!K95</f>
        <v>COSTA</v>
      </c>
      <c r="M21" s="16" t="str">
        <f>'N TRIBUTARIO'!L95</f>
        <v>LA LIBERTAD</v>
      </c>
      <c r="N21" s="16">
        <f>'N TRIBUTARIO'!M95</f>
        <v>0</v>
      </c>
      <c r="O21" s="16">
        <f>'N TRIBUTARIO'!N95</f>
        <v>1</v>
      </c>
      <c r="P21" s="16">
        <f>'N TRIBUTARIO'!O95</f>
        <v>0</v>
      </c>
      <c r="Q21" s="16">
        <f>'N TRIBUTARIO'!P95</f>
        <v>0</v>
      </c>
      <c r="R21" s="16">
        <f>'N TRIBUTARIO'!Q95</f>
        <v>0</v>
      </c>
      <c r="S21" s="16">
        <f>'N TRIBUTARIO'!R95</f>
        <v>0</v>
      </c>
      <c r="T21" s="16">
        <f>'N TRIBUTARIO'!S95</f>
        <v>0</v>
      </c>
      <c r="U21" s="16" t="str">
        <f>'N TRIBUTARIO'!T95</f>
        <v>-</v>
      </c>
      <c r="V21" s="16" t="str">
        <f>'N TRIBUTARIO'!U95</f>
        <v xml:space="preserve"> </v>
      </c>
      <c r="W21" s="16" t="str">
        <f>'N TRIBUTARIO'!V95</f>
        <v>TEOTEPEQUE-0520-COSTA</v>
      </c>
      <c r="X21" s="16" t="str">
        <f>'N TRIBUTARIO'!W95</f>
        <v>0520-051079-001-0</v>
      </c>
      <c r="Y21" s="16" t="str">
        <f>'N TRIBUTARIO'!X95</f>
        <v>TEOTEPEQUE COSTA</v>
      </c>
      <c r="Z21" s="16" t="str">
        <f>'N TRIBUTARIO'!Y95</f>
        <v>0520-051079-001-0 TEOTEPEQUE COSTA</v>
      </c>
      <c r="AA21" s="16" t="str">
        <f>'N TRIBUTARIO'!Z95</f>
        <v>0520 TEOTEPEQUE-COSTA</v>
      </c>
      <c r="AB21" s="16">
        <f>'N TRIBUTARIO'!AA95</f>
        <v>0</v>
      </c>
      <c r="AC21" s="16">
        <f>'N TRIBUTARIO'!AB95</f>
        <v>0</v>
      </c>
      <c r="AD21" s="16">
        <f>'N TRIBUTARIO'!AC95</f>
        <v>0</v>
      </c>
    </row>
    <row r="22" spans="1:30" ht="19" customHeight="1" x14ac:dyDescent="0.4">
      <c r="A22" s="16">
        <f>'N TRIBUTARIO'!A96</f>
        <v>0</v>
      </c>
      <c r="B22" s="16" t="str">
        <f>'N TRIBUTARIO'!B96</f>
        <v>05</v>
      </c>
      <c r="C22" s="16" t="str">
        <f>'N TRIBUTARIO'!C96</f>
        <v>10</v>
      </c>
      <c r="D22" s="16" t="str">
        <f>'N TRIBUTARIO'!D96</f>
        <v>79</v>
      </c>
      <c r="E22" s="16" t="str">
        <f>'N TRIBUTARIO'!E96</f>
        <v>001</v>
      </c>
      <c r="F22" s="16">
        <f>'N TRIBUTARIO'!F96</f>
        <v>0</v>
      </c>
      <c r="G22" s="16">
        <f>'N TRIBUTARIO'!G96</f>
        <v>95</v>
      </c>
      <c r="H22" s="16" t="str">
        <f>'N TRIBUTARIO'!H96</f>
        <v>0521</v>
      </c>
      <c r="I22" s="16">
        <f>'N TRIBUTARIO'!I96</f>
        <v>0</v>
      </c>
      <c r="J22" s="16" t="s">
        <v>725</v>
      </c>
      <c r="K22" s="16" t="str">
        <f>'N TRIBUTARIO'!J96</f>
        <v>TEPECOYO</v>
      </c>
      <c r="L22" s="16" t="str">
        <f>'N TRIBUTARIO'!K96</f>
        <v>OESTE</v>
      </c>
      <c r="M22" s="16" t="str">
        <f>'N TRIBUTARIO'!L96</f>
        <v>LA LIBERTAD</v>
      </c>
      <c r="N22" s="16">
        <f>'N TRIBUTARIO'!M96</f>
        <v>0</v>
      </c>
      <c r="O22" s="16">
        <f>'N TRIBUTARIO'!N96</f>
        <v>0</v>
      </c>
      <c r="P22" s="16">
        <f>'N TRIBUTARIO'!O96</f>
        <v>0</v>
      </c>
      <c r="Q22" s="16">
        <f>'N TRIBUTARIO'!P96</f>
        <v>0</v>
      </c>
      <c r="R22" s="16">
        <f>'N TRIBUTARIO'!Q96</f>
        <v>1</v>
      </c>
      <c r="S22" s="16">
        <f>'N TRIBUTARIO'!R96</f>
        <v>0</v>
      </c>
      <c r="T22" s="16">
        <f>'N TRIBUTARIO'!S96</f>
        <v>0</v>
      </c>
      <c r="U22" s="16" t="str">
        <f>'N TRIBUTARIO'!T96</f>
        <v>-</v>
      </c>
      <c r="V22" s="16" t="str">
        <f>'N TRIBUTARIO'!U96</f>
        <v xml:space="preserve"> </v>
      </c>
      <c r="W22" s="16" t="str">
        <f>'N TRIBUTARIO'!V96</f>
        <v>TEPECOYO-0521-OESTE</v>
      </c>
      <c r="X22" s="16" t="str">
        <f>'N TRIBUTARIO'!W96</f>
        <v>0521-051079-001-0</v>
      </c>
      <c r="Y22" s="16" t="str">
        <f>'N TRIBUTARIO'!X96</f>
        <v>TEPECOYO OESTE</v>
      </c>
      <c r="Z22" s="16" t="str">
        <f>'N TRIBUTARIO'!Y96</f>
        <v>0521-051079-001-0 TEPECOYO OESTE</v>
      </c>
      <c r="AA22" s="16" t="str">
        <f>'N TRIBUTARIO'!Z96</f>
        <v>0521 TEPECOYO-OESTE</v>
      </c>
      <c r="AB22" s="16">
        <f>'N TRIBUTARIO'!AA96</f>
        <v>0</v>
      </c>
      <c r="AC22" s="16">
        <f>'N TRIBUTARIO'!AB96</f>
        <v>0</v>
      </c>
      <c r="AD22" s="16">
        <f>'N TRIBUTARIO'!AC96</f>
        <v>0</v>
      </c>
    </row>
    <row r="23" spans="1:30" ht="19" customHeight="1" x14ac:dyDescent="0.4">
      <c r="A23" s="16">
        <f>'N TRIBUTARIO'!A97</f>
        <v>0</v>
      </c>
      <c r="B23" s="16" t="str">
        <f>'N TRIBUTARIO'!B97</f>
        <v>05</v>
      </c>
      <c r="C23" s="16" t="str">
        <f>'N TRIBUTARIO'!C97</f>
        <v>10</v>
      </c>
      <c r="D23" s="16" t="str">
        <f>'N TRIBUTARIO'!D97</f>
        <v>79</v>
      </c>
      <c r="E23" s="16" t="str">
        <f>'N TRIBUTARIO'!E97</f>
        <v>001</v>
      </c>
      <c r="F23" s="16">
        <f>'N TRIBUTARIO'!F97</f>
        <v>0</v>
      </c>
      <c r="G23" s="16">
        <f>'N TRIBUTARIO'!G97</f>
        <v>96</v>
      </c>
      <c r="H23" s="16" t="str">
        <f>'N TRIBUTARIO'!H97</f>
        <v>0522</v>
      </c>
      <c r="I23" s="16">
        <f>'N TRIBUTARIO'!I97</f>
        <v>0</v>
      </c>
      <c r="J23" s="16" t="s">
        <v>725</v>
      </c>
      <c r="K23" s="16" t="str">
        <f>'N TRIBUTARIO'!J97</f>
        <v>ZARAGOZA</v>
      </c>
      <c r="L23" s="16" t="str">
        <f>'N TRIBUTARIO'!K97</f>
        <v>ESTE</v>
      </c>
      <c r="M23" s="16" t="str">
        <f>'N TRIBUTARIO'!L97</f>
        <v>LA LIBERTAD</v>
      </c>
      <c r="N23" s="16">
        <f>'N TRIBUTARIO'!M97</f>
        <v>0</v>
      </c>
      <c r="O23" s="16">
        <f>'N TRIBUTARIO'!N97</f>
        <v>0</v>
      </c>
      <c r="P23" s="16">
        <f>'N TRIBUTARIO'!O97</f>
        <v>1</v>
      </c>
      <c r="Q23" s="16">
        <f>'N TRIBUTARIO'!P97</f>
        <v>0</v>
      </c>
      <c r="R23" s="16">
        <f>'N TRIBUTARIO'!Q97</f>
        <v>0</v>
      </c>
      <c r="S23" s="16">
        <f>'N TRIBUTARIO'!R97</f>
        <v>0</v>
      </c>
      <c r="T23" s="16">
        <f>'N TRIBUTARIO'!S97</f>
        <v>0</v>
      </c>
      <c r="U23" s="16" t="str">
        <f>'N TRIBUTARIO'!T97</f>
        <v>-</v>
      </c>
      <c r="V23" s="16" t="str">
        <f>'N TRIBUTARIO'!U97</f>
        <v xml:space="preserve"> </v>
      </c>
      <c r="W23" s="16" t="str">
        <f>'N TRIBUTARIO'!V97</f>
        <v>ZARAGOZA-0522-ESTE</v>
      </c>
      <c r="X23" s="16" t="str">
        <f>'N TRIBUTARIO'!W97</f>
        <v>0522-051079-001-0</v>
      </c>
      <c r="Y23" s="16" t="str">
        <f>'N TRIBUTARIO'!X97</f>
        <v>ZARAGOZA ESTE</v>
      </c>
      <c r="Z23" s="16" t="str">
        <f>'N TRIBUTARIO'!Y97</f>
        <v>0522-051079-001-0 ZARAGOZA ESTE</v>
      </c>
      <c r="AA23" s="16" t="str">
        <f>'N TRIBUTARIO'!Z97</f>
        <v>0522 ZARAGOZA-ESTE</v>
      </c>
      <c r="AB23" s="16">
        <f>'N TRIBUTARIO'!AA97</f>
        <v>0</v>
      </c>
      <c r="AC23" s="16">
        <f>'N TRIBUTARIO'!AB97</f>
        <v>0</v>
      </c>
      <c r="AD23" s="16">
        <f>'N TRIBUTARIO'!AC97</f>
        <v>0</v>
      </c>
    </row>
    <row r="24" spans="1:30" ht="19" customHeight="1" x14ac:dyDescent="0.4">
      <c r="N24" s="1">
        <f>SUM(N2:N23)</f>
        <v>2</v>
      </c>
      <c r="O24" s="1">
        <f t="shared" ref="O24:T24" si="0">SUM(O2:O23)</f>
        <v>4</v>
      </c>
      <c r="P24" s="1">
        <f t="shared" si="0"/>
        <v>5</v>
      </c>
      <c r="Q24" s="1">
        <f t="shared" si="0"/>
        <v>4</v>
      </c>
      <c r="R24" s="1">
        <f t="shared" si="0"/>
        <v>5</v>
      </c>
      <c r="S24" s="1">
        <f t="shared" si="0"/>
        <v>2</v>
      </c>
      <c r="T24" s="1">
        <f t="shared" si="0"/>
        <v>0</v>
      </c>
    </row>
    <row r="25" spans="1:30" ht="19" customHeight="1" x14ac:dyDescent="0.4">
      <c r="J25" s="1" t="str">
        <f>N1</f>
        <v>CENTRO</v>
      </c>
      <c r="K25" s="1" t="str">
        <f>CONCATENATE(K3,J3,K16)</f>
        <v>CIUDAD ARCE, SAN JUAN OPICO</v>
      </c>
    </row>
    <row r="26" spans="1:30" ht="19" customHeight="1" x14ac:dyDescent="0.4">
      <c r="J26" s="1" t="str">
        <f>O1</f>
        <v>COSTA</v>
      </c>
      <c r="K26" s="1" t="str">
        <f>CONCATENATE(K9,J9,K10,J10,K19,J19,K21)</f>
        <v>JICALAPA, LA LIBERTAD, TAMANIQUE, TEOTEPEQUE</v>
      </c>
    </row>
    <row r="27" spans="1:30" ht="19" customHeight="1" x14ac:dyDescent="0.4">
      <c r="J27" s="1" t="str">
        <f>P1</f>
        <v>ESTE</v>
      </c>
      <c r="K27" s="1" t="str">
        <f>CONCATENATE(K2,J2,K7,J7,K11,J11,K15,J15,K23)</f>
        <v>ANTIGUO CUSCATLAN, HUIZUCAR, NUEVO CUSCATLAN, SAN JOSE VILLANUEVA, ZARAGOZA</v>
      </c>
    </row>
    <row r="28" spans="1:30" ht="19" customHeight="1" x14ac:dyDescent="0.4">
      <c r="J28" s="1" t="str">
        <f>Q1</f>
        <v>NORTE</v>
      </c>
      <c r="K28" s="1" t="str">
        <f>CONCATENATE(K6,J6,K13,J13,K17,J17,K18)</f>
        <v>CHILTIUPAN, QUEZALTEPEQUE, SAN MATIAS, SAN PABLO TACACHICO</v>
      </c>
    </row>
    <row r="29" spans="1:30" ht="19" customHeight="1" x14ac:dyDescent="0.4">
      <c r="J29" s="1" t="str">
        <f>R1</f>
        <v>OESTE</v>
      </c>
      <c r="K29" s="1" t="str">
        <f>CONCATENATE(K4,J4,K8,J8,K14,J14,K20,J20,K22)</f>
        <v>COLON, JAYAQUE, SACACOYO, TALNIQUE, TEPECOYO</v>
      </c>
    </row>
    <row r="30" spans="1:30" ht="19" customHeight="1" x14ac:dyDescent="0.4">
      <c r="J30" s="1" t="str">
        <f>S1</f>
        <v>SUR</v>
      </c>
      <c r="K30" s="1" t="str">
        <f>CONCATENATE(K5,J5,K12)</f>
        <v>COMASAGUA, SANTA TECLA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4145-C0E2-473F-9DDD-C5EC4E66F28E}">
  <sheetPr codeName="Hoja13"/>
  <dimension ref="A1:AD26"/>
  <sheetViews>
    <sheetView showZeros="0" topLeftCell="A11"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5" t="str">
        <f>'N TRIBUTARIO'!A98</f>
        <v>N1</v>
      </c>
      <c r="B2" s="15" t="str">
        <f>'N TRIBUTARIO'!B98</f>
        <v>06</v>
      </c>
      <c r="C2" s="15" t="str">
        <f>'N TRIBUTARIO'!C98</f>
        <v>10</v>
      </c>
      <c r="D2" s="15" t="str">
        <f>'N TRIBUTARIO'!D98</f>
        <v>79</v>
      </c>
      <c r="E2" s="15" t="str">
        <f>'N TRIBUTARIO'!E98</f>
        <v>001</v>
      </c>
      <c r="F2" s="15">
        <f>'N TRIBUTARIO'!F98</f>
        <v>9</v>
      </c>
      <c r="G2" s="15">
        <f>'N TRIBUTARIO'!G98</f>
        <v>97</v>
      </c>
      <c r="H2" s="15" t="str">
        <f>'N TRIBUTARIO'!H98</f>
        <v>0601</v>
      </c>
      <c r="I2" s="15">
        <f>'N TRIBUTARIO'!I98</f>
        <v>0</v>
      </c>
      <c r="J2" s="15" t="s">
        <v>725</v>
      </c>
      <c r="K2" s="15" t="str">
        <f>'N TRIBUTARIO'!J98</f>
        <v>AGUILARES</v>
      </c>
      <c r="L2" s="15" t="str">
        <f>'N TRIBUTARIO'!K98</f>
        <v>NORTE</v>
      </c>
      <c r="M2" s="15" t="str">
        <f>'N TRIBUTARIO'!L98</f>
        <v>SAN SALVADOR</v>
      </c>
      <c r="N2" s="15">
        <f>'N TRIBUTARIO'!M98</f>
        <v>0</v>
      </c>
      <c r="O2" s="15">
        <f>'N TRIBUTARIO'!N98</f>
        <v>0</v>
      </c>
      <c r="P2" s="15">
        <f>'N TRIBUTARIO'!O98</f>
        <v>0</v>
      </c>
      <c r="Q2" s="15">
        <f>'N TRIBUTARIO'!P98</f>
        <v>1</v>
      </c>
      <c r="R2" s="15">
        <f>'N TRIBUTARIO'!Q98</f>
        <v>0</v>
      </c>
      <c r="S2" s="15">
        <f>'N TRIBUTARIO'!R98</f>
        <v>0</v>
      </c>
      <c r="T2" s="15">
        <f>'N TRIBUTARIO'!S98</f>
        <v>0</v>
      </c>
      <c r="U2" s="15" t="str">
        <f>'N TRIBUTARIO'!T98</f>
        <v>-</v>
      </c>
      <c r="V2" s="15" t="str">
        <f>'N TRIBUTARIO'!U98</f>
        <v xml:space="preserve"> </v>
      </c>
      <c r="W2" s="15" t="str">
        <f>'N TRIBUTARIO'!V98</f>
        <v>AGUILARES-0601-NORTE</v>
      </c>
      <c r="X2" s="15" t="str">
        <f>'N TRIBUTARIO'!W98</f>
        <v>0601-061079-001-9</v>
      </c>
      <c r="Y2" s="15" t="str">
        <f>'N TRIBUTARIO'!X98</f>
        <v>AGUILARES NORTE</v>
      </c>
      <c r="Z2" s="15" t="str">
        <f>'N TRIBUTARIO'!Y98</f>
        <v>0601-061079-001-9 AGUILARES NORTE</v>
      </c>
      <c r="AA2" s="15" t="str">
        <f>'N TRIBUTARIO'!Z98</f>
        <v>0601 AGUILARES-NORTE</v>
      </c>
      <c r="AB2" s="15">
        <f>'N TRIBUTARIO'!AA98</f>
        <v>222.86</v>
      </c>
      <c r="AC2" s="15">
        <f>'N TRIBUTARIO'!AB98</f>
        <v>58724</v>
      </c>
      <c r="AD2" s="15">
        <f>'N TRIBUTARIO'!AC98</f>
        <v>263.5</v>
      </c>
    </row>
    <row r="3" spans="1:30" ht="19" customHeight="1" x14ac:dyDescent="0.4">
      <c r="A3" s="15" t="str">
        <f>'N TRIBUTARIO'!A99</f>
        <v>O1</v>
      </c>
      <c r="B3" s="15" t="str">
        <f>'N TRIBUTARIO'!B99</f>
        <v>30</v>
      </c>
      <c r="C3" s="15" t="str">
        <f>'N TRIBUTARIO'!C99</f>
        <v>06</v>
      </c>
      <c r="D3" s="15" t="str">
        <f>'N TRIBUTARIO'!D99</f>
        <v>78</v>
      </c>
      <c r="E3" s="15" t="str">
        <f>'N TRIBUTARIO'!E99</f>
        <v>001</v>
      </c>
      <c r="F3" s="15">
        <f>'N TRIBUTARIO'!F99</f>
        <v>3</v>
      </c>
      <c r="G3" s="15">
        <f>'N TRIBUTARIO'!G99</f>
        <v>98</v>
      </c>
      <c r="H3" s="15" t="str">
        <f>'N TRIBUTARIO'!H99</f>
        <v>0602</v>
      </c>
      <c r="I3" s="15">
        <f>'N TRIBUTARIO'!I99</f>
        <v>0</v>
      </c>
      <c r="J3" s="15" t="s">
        <v>725</v>
      </c>
      <c r="K3" s="15" t="str">
        <f>'N TRIBUTARIO'!J99</f>
        <v>APOPA</v>
      </c>
      <c r="L3" s="15" t="str">
        <f>'N TRIBUTARIO'!K99</f>
        <v>OESTE</v>
      </c>
      <c r="M3" s="15" t="str">
        <f>'N TRIBUTARIO'!L99</f>
        <v>SAN SALVADOR</v>
      </c>
      <c r="N3" s="15">
        <f>'N TRIBUTARIO'!M99</f>
        <v>0</v>
      </c>
      <c r="O3" s="15">
        <f>'N TRIBUTARIO'!N99</f>
        <v>0</v>
      </c>
      <c r="P3" s="15">
        <f>'N TRIBUTARIO'!O99</f>
        <v>0</v>
      </c>
      <c r="Q3" s="15">
        <f>'N TRIBUTARIO'!P99</f>
        <v>0</v>
      </c>
      <c r="R3" s="15">
        <f>'N TRIBUTARIO'!Q99</f>
        <v>1</v>
      </c>
      <c r="S3" s="15">
        <f>'N TRIBUTARIO'!R99</f>
        <v>0</v>
      </c>
      <c r="T3" s="15">
        <f>'N TRIBUTARIO'!S99</f>
        <v>0</v>
      </c>
      <c r="U3" s="15" t="str">
        <f>'N TRIBUTARIO'!T99</f>
        <v>-</v>
      </c>
      <c r="V3" s="15" t="str">
        <f>'N TRIBUTARIO'!U99</f>
        <v xml:space="preserve"> </v>
      </c>
      <c r="W3" s="15" t="str">
        <f>'N TRIBUTARIO'!V99</f>
        <v>APOPA-0602-OESTE</v>
      </c>
      <c r="X3" s="15" t="str">
        <f>'N TRIBUTARIO'!W99</f>
        <v>0602-300678-001-3</v>
      </c>
      <c r="Y3" s="15" t="str">
        <f>'N TRIBUTARIO'!X99</f>
        <v>APOPA OESTE</v>
      </c>
      <c r="Z3" s="15" t="str">
        <f>'N TRIBUTARIO'!Y99</f>
        <v>0602-300678-001-3 APOPA OESTE</v>
      </c>
      <c r="AA3" s="15" t="str">
        <f>'N TRIBUTARIO'!Z99</f>
        <v>0602 APOPA-OESTE</v>
      </c>
      <c r="AB3" s="15">
        <f>'N TRIBUTARIO'!AA99</f>
        <v>135.19999999999999</v>
      </c>
      <c r="AC3" s="15">
        <f>'N TRIBUTARIO'!AB99</f>
        <v>227986</v>
      </c>
      <c r="AD3" s="15">
        <f>'N TRIBUTARIO'!AC99</f>
        <v>1686.29</v>
      </c>
    </row>
    <row r="4" spans="1:30" ht="19" customHeight="1" x14ac:dyDescent="0.4">
      <c r="A4" s="15">
        <f>'N TRIBUTARIO'!A100</f>
        <v>0</v>
      </c>
      <c r="B4" s="15" t="str">
        <f>'N TRIBUTARIO'!B100</f>
        <v>01</v>
      </c>
      <c r="C4" s="15" t="str">
        <f>'N TRIBUTARIO'!C100</f>
        <v>06</v>
      </c>
      <c r="D4" s="15" t="str">
        <f>'N TRIBUTARIO'!D100</f>
        <v>11</v>
      </c>
      <c r="E4" s="15" t="str">
        <f>'N TRIBUTARIO'!E100</f>
        <v>005</v>
      </c>
      <c r="F4" s="15">
        <f>'N TRIBUTARIO'!F100</f>
        <v>8</v>
      </c>
      <c r="G4" s="15">
        <f>'N TRIBUTARIO'!G100</f>
        <v>99</v>
      </c>
      <c r="H4" s="15" t="str">
        <f>'N TRIBUTARIO'!H100</f>
        <v>0603</v>
      </c>
      <c r="I4" s="15">
        <f>'N TRIBUTARIO'!I100</f>
        <v>0</v>
      </c>
      <c r="J4" s="15" t="s">
        <v>725</v>
      </c>
      <c r="K4" s="15" t="str">
        <f>'N TRIBUTARIO'!J100</f>
        <v>AYUTUXTEPEQUE</v>
      </c>
      <c r="L4" s="15" t="str">
        <f>'N TRIBUTARIO'!K100</f>
        <v>CENTRO</v>
      </c>
      <c r="M4" s="15" t="str">
        <f>'N TRIBUTARIO'!L100</f>
        <v>SAN SALVADOR</v>
      </c>
      <c r="N4" s="15">
        <f>'N TRIBUTARIO'!M100</f>
        <v>1</v>
      </c>
      <c r="O4" s="15">
        <f>'N TRIBUTARIO'!N100</f>
        <v>0</v>
      </c>
      <c r="P4" s="15">
        <f>'N TRIBUTARIO'!O100</f>
        <v>0</v>
      </c>
      <c r="Q4" s="15">
        <f>'N TRIBUTARIO'!P100</f>
        <v>0</v>
      </c>
      <c r="R4" s="15">
        <f>'N TRIBUTARIO'!Q100</f>
        <v>0</v>
      </c>
      <c r="S4" s="15">
        <f>'N TRIBUTARIO'!R100</f>
        <v>0</v>
      </c>
      <c r="T4" s="15">
        <f>'N TRIBUTARIO'!S100</f>
        <v>0</v>
      </c>
      <c r="U4" s="15" t="str">
        <f>'N TRIBUTARIO'!T100</f>
        <v>-</v>
      </c>
      <c r="V4" s="15" t="str">
        <f>'N TRIBUTARIO'!U100</f>
        <v xml:space="preserve"> </v>
      </c>
      <c r="W4" s="15" t="str">
        <f>'N TRIBUTARIO'!V100</f>
        <v>AYUTUXTEPEQUE-0603-CENTRO</v>
      </c>
      <c r="X4" s="15" t="str">
        <f>'N TRIBUTARIO'!W100</f>
        <v>0603-010611-005-8</v>
      </c>
      <c r="Y4" s="15" t="str">
        <f>'N TRIBUTARIO'!X100</f>
        <v>AYUTUXTEPEQUE CENTRO</v>
      </c>
      <c r="Z4" s="15" t="str">
        <f>'N TRIBUTARIO'!Y100</f>
        <v>0603-010611-005-8 AYUTUXTEPEQUE CENTRO</v>
      </c>
      <c r="AA4" s="15" t="str">
        <f>'N TRIBUTARIO'!Z100</f>
        <v>0603 AYUTUXTEPEQUE-CENTRO</v>
      </c>
      <c r="AB4" s="15">
        <f>'N TRIBUTARIO'!AA100</f>
        <v>0</v>
      </c>
      <c r="AC4" s="15">
        <f>'N TRIBUTARIO'!AB100</f>
        <v>0</v>
      </c>
      <c r="AD4" s="15">
        <f>'N TRIBUTARIO'!AC100</f>
        <v>0</v>
      </c>
    </row>
    <row r="5" spans="1:30" ht="19" customHeight="1" x14ac:dyDescent="0.4">
      <c r="A5" s="15">
        <f>'N TRIBUTARIO'!A101</f>
        <v>0</v>
      </c>
      <c r="B5" s="15" t="str">
        <f>'N TRIBUTARIO'!B101</f>
        <v>07</v>
      </c>
      <c r="C5" s="15" t="str">
        <f>'N TRIBUTARIO'!C101</f>
        <v>09</v>
      </c>
      <c r="D5" s="15" t="str">
        <f>'N TRIBUTARIO'!D101</f>
        <v>77</v>
      </c>
      <c r="E5" s="15" t="str">
        <f>'N TRIBUTARIO'!E101</f>
        <v>001</v>
      </c>
      <c r="F5" s="15">
        <f>'N TRIBUTARIO'!F101</f>
        <v>8</v>
      </c>
      <c r="G5" s="15">
        <f>'N TRIBUTARIO'!G101</f>
        <v>100</v>
      </c>
      <c r="H5" s="15" t="str">
        <f>'N TRIBUTARIO'!H101</f>
        <v>0604</v>
      </c>
      <c r="I5" s="15">
        <f>'N TRIBUTARIO'!I101</f>
        <v>0</v>
      </c>
      <c r="J5" s="15" t="s">
        <v>725</v>
      </c>
      <c r="K5" s="15" t="str">
        <f>'N TRIBUTARIO'!J101</f>
        <v>CUSCATANCINGO</v>
      </c>
      <c r="L5" s="15" t="str">
        <f>'N TRIBUTARIO'!K101</f>
        <v>CENTRO</v>
      </c>
      <c r="M5" s="15" t="str">
        <f>'N TRIBUTARIO'!L101</f>
        <v>SAN SALVADOR</v>
      </c>
      <c r="N5" s="15">
        <f>'N TRIBUTARIO'!M101</f>
        <v>1</v>
      </c>
      <c r="O5" s="15">
        <f>'N TRIBUTARIO'!N101</f>
        <v>0</v>
      </c>
      <c r="P5" s="15">
        <f>'N TRIBUTARIO'!O101</f>
        <v>0</v>
      </c>
      <c r="Q5" s="15">
        <f>'N TRIBUTARIO'!P101</f>
        <v>0</v>
      </c>
      <c r="R5" s="15">
        <f>'N TRIBUTARIO'!Q101</f>
        <v>0</v>
      </c>
      <c r="S5" s="15">
        <f>'N TRIBUTARIO'!R101</f>
        <v>0</v>
      </c>
      <c r="T5" s="15">
        <f>'N TRIBUTARIO'!S101</f>
        <v>0</v>
      </c>
      <c r="U5" s="15" t="str">
        <f>'N TRIBUTARIO'!T101</f>
        <v>-</v>
      </c>
      <c r="V5" s="15" t="str">
        <f>'N TRIBUTARIO'!U101</f>
        <v xml:space="preserve"> </v>
      </c>
      <c r="W5" s="15" t="str">
        <f>'N TRIBUTARIO'!V101</f>
        <v>CUSCATANCINGO-0604-CENTRO</v>
      </c>
      <c r="X5" s="15" t="str">
        <f>'N TRIBUTARIO'!W101</f>
        <v>0604-070977-001-8</v>
      </c>
      <c r="Y5" s="15" t="str">
        <f>'N TRIBUTARIO'!X101</f>
        <v>CUSCATANCINGO CENTRO</v>
      </c>
      <c r="Z5" s="15" t="str">
        <f>'N TRIBUTARIO'!Y101</f>
        <v>0604-070977-001-8 CUSCATANCINGO CENTRO</v>
      </c>
      <c r="AA5" s="15" t="str">
        <f>'N TRIBUTARIO'!Z101</f>
        <v>0604 CUSCATANCINGO-CENTRO</v>
      </c>
      <c r="AB5" s="15">
        <f>'N TRIBUTARIO'!AA101</f>
        <v>0</v>
      </c>
      <c r="AC5" s="15">
        <f>'N TRIBUTARIO'!AB101</f>
        <v>0</v>
      </c>
      <c r="AD5" s="15">
        <f>'N TRIBUTARIO'!AC101</f>
        <v>0</v>
      </c>
    </row>
    <row r="6" spans="1:30" ht="19" customHeight="1" x14ac:dyDescent="0.4">
      <c r="A6" s="15">
        <f>'N TRIBUTARIO'!A102</f>
        <v>0</v>
      </c>
      <c r="B6" s="15" t="str">
        <f>'N TRIBUTARIO'!B102</f>
        <v>06</v>
      </c>
      <c r="C6" s="15" t="str">
        <f>'N TRIBUTARIO'!C102</f>
        <v>10</v>
      </c>
      <c r="D6" s="15" t="str">
        <f>'N TRIBUTARIO'!D102</f>
        <v>79</v>
      </c>
      <c r="E6" s="15" t="str">
        <f>'N TRIBUTARIO'!E102</f>
        <v>001</v>
      </c>
      <c r="F6" s="15">
        <f>'N TRIBUTARIO'!F102</f>
        <v>9</v>
      </c>
      <c r="G6" s="15">
        <f>'N TRIBUTARIO'!G102</f>
        <v>101</v>
      </c>
      <c r="H6" s="15" t="str">
        <f>'N TRIBUTARIO'!H102</f>
        <v>0605</v>
      </c>
      <c r="I6" s="15">
        <f>'N TRIBUTARIO'!I102</f>
        <v>0</v>
      </c>
      <c r="J6" s="15" t="s">
        <v>725</v>
      </c>
      <c r="K6" s="15" t="str">
        <f>'N TRIBUTARIO'!J102</f>
        <v>EL PAISNAL</v>
      </c>
      <c r="L6" s="15" t="str">
        <f>'N TRIBUTARIO'!K102</f>
        <v>NORTE</v>
      </c>
      <c r="M6" s="15" t="str">
        <f>'N TRIBUTARIO'!L102</f>
        <v>SAN SALVADOR</v>
      </c>
      <c r="N6" s="15">
        <f>'N TRIBUTARIO'!M102</f>
        <v>0</v>
      </c>
      <c r="O6" s="15">
        <f>'N TRIBUTARIO'!N102</f>
        <v>0</v>
      </c>
      <c r="P6" s="15">
        <f>'N TRIBUTARIO'!O102</f>
        <v>0</v>
      </c>
      <c r="Q6" s="15">
        <f>'N TRIBUTARIO'!P102</f>
        <v>1</v>
      </c>
      <c r="R6" s="15">
        <f>'N TRIBUTARIO'!Q102</f>
        <v>0</v>
      </c>
      <c r="S6" s="15">
        <f>'N TRIBUTARIO'!R102</f>
        <v>0</v>
      </c>
      <c r="T6" s="15">
        <f>'N TRIBUTARIO'!S102</f>
        <v>0</v>
      </c>
      <c r="U6" s="15" t="str">
        <f>'N TRIBUTARIO'!T102</f>
        <v>-</v>
      </c>
      <c r="V6" s="15" t="str">
        <f>'N TRIBUTARIO'!U102</f>
        <v xml:space="preserve"> </v>
      </c>
      <c r="W6" s="15" t="str">
        <f>'N TRIBUTARIO'!V102</f>
        <v>EL PAISNAL-0605-NORTE</v>
      </c>
      <c r="X6" s="15" t="str">
        <f>'N TRIBUTARIO'!W102</f>
        <v>0605-061079-001-9</v>
      </c>
      <c r="Y6" s="15" t="str">
        <f>'N TRIBUTARIO'!X102</f>
        <v>EL PAISNAL NORTE</v>
      </c>
      <c r="Z6" s="15" t="str">
        <f>'N TRIBUTARIO'!Y102</f>
        <v>0605-061079-001-9 EL PAISNAL NORTE</v>
      </c>
      <c r="AA6" s="15" t="str">
        <f>'N TRIBUTARIO'!Z102</f>
        <v>0605 EL PAISNAL-NORTE</v>
      </c>
      <c r="AB6" s="15">
        <f>'N TRIBUTARIO'!AA102</f>
        <v>0</v>
      </c>
      <c r="AC6" s="15">
        <f>'N TRIBUTARIO'!AB102</f>
        <v>0</v>
      </c>
      <c r="AD6" s="15">
        <f>'N TRIBUTARIO'!AC102</f>
        <v>0</v>
      </c>
    </row>
    <row r="7" spans="1:30" ht="19" customHeight="1" x14ac:dyDescent="0.4">
      <c r="A7" s="15">
        <f>'N TRIBUTARIO'!A103</f>
        <v>0</v>
      </c>
      <c r="B7" s="15" t="str">
        <f>'N TRIBUTARIO'!B103</f>
        <v>06</v>
      </c>
      <c r="C7" s="15" t="str">
        <f>'N TRIBUTARIO'!C103</f>
        <v>10</v>
      </c>
      <c r="D7" s="15" t="str">
        <f>'N TRIBUTARIO'!D103</f>
        <v>79</v>
      </c>
      <c r="E7" s="15" t="str">
        <f>'N TRIBUTARIO'!E103</f>
        <v>001</v>
      </c>
      <c r="F7" s="15">
        <f>'N TRIBUTARIO'!F103</f>
        <v>9</v>
      </c>
      <c r="G7" s="15">
        <f>'N TRIBUTARIO'!G103</f>
        <v>102</v>
      </c>
      <c r="H7" s="15" t="str">
        <f>'N TRIBUTARIO'!H103</f>
        <v>0606</v>
      </c>
      <c r="I7" s="15">
        <f>'N TRIBUTARIO'!I103</f>
        <v>0</v>
      </c>
      <c r="J7" s="15" t="s">
        <v>725</v>
      </c>
      <c r="K7" s="15" t="str">
        <f>'N TRIBUTARIO'!J103</f>
        <v>GUAZAPA</v>
      </c>
      <c r="L7" s="15" t="str">
        <f>'N TRIBUTARIO'!K103</f>
        <v>NORTE</v>
      </c>
      <c r="M7" s="15" t="str">
        <f>'N TRIBUTARIO'!L103</f>
        <v>SAN SALVADOR</v>
      </c>
      <c r="N7" s="15">
        <f>'N TRIBUTARIO'!M103</f>
        <v>0</v>
      </c>
      <c r="O7" s="15">
        <f>'N TRIBUTARIO'!N103</f>
        <v>0</v>
      </c>
      <c r="P7" s="15">
        <f>'N TRIBUTARIO'!O103</f>
        <v>0</v>
      </c>
      <c r="Q7" s="15">
        <f>'N TRIBUTARIO'!P103</f>
        <v>1</v>
      </c>
      <c r="R7" s="15">
        <f>'N TRIBUTARIO'!Q103</f>
        <v>0</v>
      </c>
      <c r="S7" s="15">
        <f>'N TRIBUTARIO'!R103</f>
        <v>0</v>
      </c>
      <c r="T7" s="15">
        <f>'N TRIBUTARIO'!S103</f>
        <v>0</v>
      </c>
      <c r="U7" s="15" t="str">
        <f>'N TRIBUTARIO'!T103</f>
        <v>-</v>
      </c>
      <c r="V7" s="15" t="str">
        <f>'N TRIBUTARIO'!U103</f>
        <v xml:space="preserve"> </v>
      </c>
      <c r="W7" s="15" t="str">
        <f>'N TRIBUTARIO'!V103</f>
        <v>GUAZAPA-0606-NORTE</v>
      </c>
      <c r="X7" s="15" t="str">
        <f>'N TRIBUTARIO'!W103</f>
        <v>0606-061079-001-9</v>
      </c>
      <c r="Y7" s="15" t="str">
        <f>'N TRIBUTARIO'!X103</f>
        <v>GUAZAPA NORTE</v>
      </c>
      <c r="Z7" s="15" t="str">
        <f>'N TRIBUTARIO'!Y103</f>
        <v>0606-061079-001-9 GUAZAPA NORTE</v>
      </c>
      <c r="AA7" s="15" t="str">
        <f>'N TRIBUTARIO'!Z103</f>
        <v>0606 GUAZAPA-NORTE</v>
      </c>
      <c r="AB7" s="15">
        <f>'N TRIBUTARIO'!AA103</f>
        <v>0</v>
      </c>
      <c r="AC7" s="15">
        <f>'N TRIBUTARIO'!AB103</f>
        <v>0</v>
      </c>
      <c r="AD7" s="15">
        <f>'N TRIBUTARIO'!AC103</f>
        <v>0</v>
      </c>
    </row>
    <row r="8" spans="1:30" ht="19" customHeight="1" x14ac:dyDescent="0.4">
      <c r="A8" s="15" t="str">
        <f>'N TRIBUTARIO'!A104</f>
        <v>E1</v>
      </c>
      <c r="B8" s="15" t="str">
        <f>'N TRIBUTARIO'!B104</f>
        <v>01</v>
      </c>
      <c r="C8" s="15" t="str">
        <f>'N TRIBUTARIO'!C104</f>
        <v>06</v>
      </c>
      <c r="D8" s="15" t="str">
        <f>'N TRIBUTARIO'!D104</f>
        <v>11</v>
      </c>
      <c r="E8" s="15" t="str">
        <f>'N TRIBUTARIO'!E104</f>
        <v>001</v>
      </c>
      <c r="F8" s="15">
        <f>'N TRIBUTARIO'!F104</f>
        <v>0</v>
      </c>
      <c r="G8" s="15">
        <f>'N TRIBUTARIO'!G104</f>
        <v>103</v>
      </c>
      <c r="H8" s="15" t="str">
        <f>'N TRIBUTARIO'!H104</f>
        <v>0607</v>
      </c>
      <c r="I8" s="15">
        <f>'N TRIBUTARIO'!I104</f>
        <v>0</v>
      </c>
      <c r="J8" s="15" t="s">
        <v>725</v>
      </c>
      <c r="K8" s="15" t="str">
        <f>'N TRIBUTARIO'!J104</f>
        <v>ILOPANGO</v>
      </c>
      <c r="L8" s="15" t="str">
        <f>'N TRIBUTARIO'!K104</f>
        <v>ESTE</v>
      </c>
      <c r="M8" s="15" t="str">
        <f>'N TRIBUTARIO'!L104</f>
        <v>SAN SALVADOR</v>
      </c>
      <c r="N8" s="15">
        <f>'N TRIBUTARIO'!M104</f>
        <v>0</v>
      </c>
      <c r="O8" s="15">
        <f>'N TRIBUTARIO'!N104</f>
        <v>0</v>
      </c>
      <c r="P8" s="15">
        <f>'N TRIBUTARIO'!O104</f>
        <v>1</v>
      </c>
      <c r="Q8" s="15">
        <f>'N TRIBUTARIO'!P104</f>
        <v>0</v>
      </c>
      <c r="R8" s="15">
        <f>'N TRIBUTARIO'!Q104</f>
        <v>0</v>
      </c>
      <c r="S8" s="15">
        <f>'N TRIBUTARIO'!R104</f>
        <v>0</v>
      </c>
      <c r="T8" s="15">
        <f>'N TRIBUTARIO'!S104</f>
        <v>0</v>
      </c>
      <c r="U8" s="15" t="str">
        <f>'N TRIBUTARIO'!T104</f>
        <v>-</v>
      </c>
      <c r="V8" s="15" t="str">
        <f>'N TRIBUTARIO'!U104</f>
        <v xml:space="preserve"> </v>
      </c>
      <c r="W8" s="15" t="str">
        <f>'N TRIBUTARIO'!V104</f>
        <v>ILOPANGO-0607-ESTE</v>
      </c>
      <c r="X8" s="15" t="str">
        <f>'N TRIBUTARIO'!W104</f>
        <v>0607-010611-001-0</v>
      </c>
      <c r="Y8" s="15" t="str">
        <f>'N TRIBUTARIO'!X104</f>
        <v>ILOPANGO ESTE</v>
      </c>
      <c r="Z8" s="15" t="str">
        <f>'N TRIBUTARIO'!Y104</f>
        <v>0607-010611-001-0 ILOPANGO ESTE</v>
      </c>
      <c r="AA8" s="15" t="str">
        <f>'N TRIBUTARIO'!Z104</f>
        <v>0607 ILOPANGO-ESTE</v>
      </c>
      <c r="AB8" s="15">
        <f>'N TRIBUTARIO'!AA104</f>
        <v>187.74</v>
      </c>
      <c r="AC8" s="15">
        <f>'N TRIBUTARIO'!AB104</f>
        <v>550739</v>
      </c>
      <c r="AD8" s="15">
        <f>'N TRIBUTARIO'!AC104</f>
        <v>2933.52</v>
      </c>
    </row>
    <row r="9" spans="1:30" ht="19" customHeight="1" x14ac:dyDescent="0.4">
      <c r="A9" s="15">
        <f>'N TRIBUTARIO'!A105</f>
        <v>0</v>
      </c>
      <c r="B9" s="15" t="str">
        <f>'N TRIBUTARIO'!B105</f>
        <v>01</v>
      </c>
      <c r="C9" s="15" t="str">
        <f>'N TRIBUTARIO'!C105</f>
        <v>06</v>
      </c>
      <c r="D9" s="15" t="str">
        <f>'N TRIBUTARIO'!D105</f>
        <v>11</v>
      </c>
      <c r="E9" s="15" t="str">
        <f>'N TRIBUTARIO'!E105</f>
        <v>004</v>
      </c>
      <c r="F9" s="15">
        <f>'N TRIBUTARIO'!F105</f>
        <v>6</v>
      </c>
      <c r="G9" s="15">
        <f>'N TRIBUTARIO'!G105</f>
        <v>104</v>
      </c>
      <c r="H9" s="15" t="str">
        <f>'N TRIBUTARIO'!H105</f>
        <v>0608</v>
      </c>
      <c r="I9" s="15">
        <f>'N TRIBUTARIO'!I105</f>
        <v>0</v>
      </c>
      <c r="J9" s="15" t="s">
        <v>725</v>
      </c>
      <c r="K9" s="15" t="str">
        <f>'N TRIBUTARIO'!J105</f>
        <v>MEJICANOS</v>
      </c>
      <c r="L9" s="15" t="str">
        <f>'N TRIBUTARIO'!K105</f>
        <v>CENTRO</v>
      </c>
      <c r="M9" s="15" t="str">
        <f>'N TRIBUTARIO'!L105</f>
        <v>SAN SALVADOR</v>
      </c>
      <c r="N9" s="15">
        <f>'N TRIBUTARIO'!M105</f>
        <v>1</v>
      </c>
      <c r="O9" s="15">
        <f>'N TRIBUTARIO'!N105</f>
        <v>0</v>
      </c>
      <c r="P9" s="15">
        <f>'N TRIBUTARIO'!O105</f>
        <v>0</v>
      </c>
      <c r="Q9" s="15">
        <f>'N TRIBUTARIO'!P105</f>
        <v>0</v>
      </c>
      <c r="R9" s="15">
        <f>'N TRIBUTARIO'!Q105</f>
        <v>0</v>
      </c>
      <c r="S9" s="15">
        <f>'N TRIBUTARIO'!R105</f>
        <v>0</v>
      </c>
      <c r="T9" s="15">
        <f>'N TRIBUTARIO'!S105</f>
        <v>0</v>
      </c>
      <c r="U9" s="15" t="str">
        <f>'N TRIBUTARIO'!T105</f>
        <v>-</v>
      </c>
      <c r="V9" s="15" t="str">
        <f>'N TRIBUTARIO'!U105</f>
        <v xml:space="preserve"> </v>
      </c>
      <c r="W9" s="15" t="str">
        <f>'N TRIBUTARIO'!V105</f>
        <v>MEJICANOS-0608-CENTRO</v>
      </c>
      <c r="X9" s="15" t="str">
        <f>'N TRIBUTARIO'!W105</f>
        <v>0608-010611-004-6</v>
      </c>
      <c r="Y9" s="15" t="str">
        <f>'N TRIBUTARIO'!X105</f>
        <v>MEJICANOS CENTRO</v>
      </c>
      <c r="Z9" s="15" t="str">
        <f>'N TRIBUTARIO'!Y105</f>
        <v>0608-010611-004-6 MEJICANOS CENTRO</v>
      </c>
      <c r="AA9" s="15" t="str">
        <f>'N TRIBUTARIO'!Z105</f>
        <v>0608 MEJICANOS-CENTRO</v>
      </c>
      <c r="AB9" s="15">
        <f>'N TRIBUTARIO'!AA105</f>
        <v>0</v>
      </c>
      <c r="AC9" s="15">
        <f>'N TRIBUTARIO'!AB105</f>
        <v>0</v>
      </c>
      <c r="AD9" s="15">
        <f>'N TRIBUTARIO'!AC105</f>
        <v>0</v>
      </c>
    </row>
    <row r="10" spans="1:30" ht="19" customHeight="1" x14ac:dyDescent="0.4">
      <c r="A10" s="15">
        <f>'N TRIBUTARIO'!A106</f>
        <v>0</v>
      </c>
      <c r="B10" s="15" t="str">
        <f>'N TRIBUTARIO'!B106</f>
        <v>10</v>
      </c>
      <c r="C10" s="15" t="str">
        <f>'N TRIBUTARIO'!C106</f>
        <v>10</v>
      </c>
      <c r="D10" s="15" t="str">
        <f>'N TRIBUTARIO'!D106</f>
        <v>77</v>
      </c>
      <c r="E10" s="15" t="str">
        <f>'N TRIBUTARIO'!E106</f>
        <v>001</v>
      </c>
      <c r="F10" s="15">
        <f>'N TRIBUTARIO'!F106</f>
        <v>0</v>
      </c>
      <c r="G10" s="15">
        <f>'N TRIBUTARIO'!G106</f>
        <v>105</v>
      </c>
      <c r="H10" s="15" t="str">
        <f>'N TRIBUTARIO'!H106</f>
        <v>0609</v>
      </c>
      <c r="I10" s="15">
        <f>'N TRIBUTARIO'!I106</f>
        <v>0</v>
      </c>
      <c r="J10" s="15" t="s">
        <v>725</v>
      </c>
      <c r="K10" s="15" t="str">
        <f>'N TRIBUTARIO'!J106</f>
        <v>NEJAPA</v>
      </c>
      <c r="L10" s="15" t="str">
        <f>'N TRIBUTARIO'!K106</f>
        <v>OESTE</v>
      </c>
      <c r="M10" s="15" t="str">
        <f>'N TRIBUTARIO'!L106</f>
        <v>SAN SALVADOR</v>
      </c>
      <c r="N10" s="15">
        <f>'N TRIBUTARIO'!M106</f>
        <v>0</v>
      </c>
      <c r="O10" s="15">
        <f>'N TRIBUTARIO'!N106</f>
        <v>0</v>
      </c>
      <c r="P10" s="15">
        <f>'N TRIBUTARIO'!O106</f>
        <v>0</v>
      </c>
      <c r="Q10" s="15">
        <f>'N TRIBUTARIO'!P106</f>
        <v>0</v>
      </c>
      <c r="R10" s="15">
        <f>'N TRIBUTARIO'!Q106</f>
        <v>1</v>
      </c>
      <c r="S10" s="15">
        <f>'N TRIBUTARIO'!R106</f>
        <v>0</v>
      </c>
      <c r="T10" s="15">
        <f>'N TRIBUTARIO'!S106</f>
        <v>0</v>
      </c>
      <c r="U10" s="15" t="str">
        <f>'N TRIBUTARIO'!T106</f>
        <v>-</v>
      </c>
      <c r="V10" s="15" t="str">
        <f>'N TRIBUTARIO'!U106</f>
        <v xml:space="preserve"> </v>
      </c>
      <c r="W10" s="15" t="str">
        <f>'N TRIBUTARIO'!V106</f>
        <v>NEJAPA-0609-OESTE</v>
      </c>
      <c r="X10" s="15" t="str">
        <f>'N TRIBUTARIO'!W106</f>
        <v>0609-101077-001-0</v>
      </c>
      <c r="Y10" s="15" t="str">
        <f>'N TRIBUTARIO'!X106</f>
        <v>NEJAPA OESTE</v>
      </c>
      <c r="Z10" s="15" t="str">
        <f>'N TRIBUTARIO'!Y106</f>
        <v>0609-101077-001-0 NEJAPA OESTE</v>
      </c>
      <c r="AA10" s="15" t="str">
        <f>'N TRIBUTARIO'!Z106</f>
        <v>0609 NEJAPA-OESTE</v>
      </c>
      <c r="AB10" s="15">
        <f>'N TRIBUTARIO'!AA106</f>
        <v>0</v>
      </c>
      <c r="AC10" s="15">
        <f>'N TRIBUTARIO'!AB106</f>
        <v>0</v>
      </c>
      <c r="AD10" s="15">
        <f>'N TRIBUTARIO'!AC106</f>
        <v>0</v>
      </c>
    </row>
    <row r="11" spans="1:30" ht="19" customHeight="1" x14ac:dyDescent="0.4">
      <c r="A11" s="15">
        <f>'N TRIBUTARIO'!A107</f>
        <v>0</v>
      </c>
      <c r="B11" s="15" t="str">
        <f>'N TRIBUTARIO'!B107</f>
        <v>06</v>
      </c>
      <c r="C11" s="15" t="str">
        <f>'N TRIBUTARIO'!C107</f>
        <v>10</v>
      </c>
      <c r="D11" s="15" t="str">
        <f>'N TRIBUTARIO'!D107</f>
        <v>79</v>
      </c>
      <c r="E11" s="15" t="str">
        <f>'N TRIBUTARIO'!E107</f>
        <v>001</v>
      </c>
      <c r="F11" s="15">
        <f>'N TRIBUTARIO'!F107</f>
        <v>0</v>
      </c>
      <c r="G11" s="15">
        <f>'N TRIBUTARIO'!G107</f>
        <v>106</v>
      </c>
      <c r="H11" s="15" t="str">
        <f>'N TRIBUTARIO'!H107</f>
        <v>0610</v>
      </c>
      <c r="I11" s="15">
        <f>'N TRIBUTARIO'!I107</f>
        <v>0</v>
      </c>
      <c r="J11" s="15" t="s">
        <v>725</v>
      </c>
      <c r="K11" s="15" t="str">
        <f>'N TRIBUTARIO'!J107</f>
        <v>PANCHIMALCO</v>
      </c>
      <c r="L11" s="15" t="str">
        <f>'N TRIBUTARIO'!K107</f>
        <v>SUR</v>
      </c>
      <c r="M11" s="15" t="str">
        <f>'N TRIBUTARIO'!L107</f>
        <v>SAN SALVADOR</v>
      </c>
      <c r="N11" s="15">
        <f>'N TRIBUTARIO'!M107</f>
        <v>0</v>
      </c>
      <c r="O11" s="15">
        <f>'N TRIBUTARIO'!N107</f>
        <v>0</v>
      </c>
      <c r="P11" s="15">
        <f>'N TRIBUTARIO'!O107</f>
        <v>0</v>
      </c>
      <c r="Q11" s="15">
        <f>'N TRIBUTARIO'!P107</f>
        <v>0</v>
      </c>
      <c r="R11" s="15">
        <f>'N TRIBUTARIO'!Q107</f>
        <v>0</v>
      </c>
      <c r="S11" s="15">
        <f>'N TRIBUTARIO'!R107</f>
        <v>1</v>
      </c>
      <c r="T11" s="15">
        <f>'N TRIBUTARIO'!S107</f>
        <v>0</v>
      </c>
      <c r="U11" s="15" t="str">
        <f>'N TRIBUTARIO'!T107</f>
        <v>-</v>
      </c>
      <c r="V11" s="15" t="str">
        <f>'N TRIBUTARIO'!U107</f>
        <v xml:space="preserve"> </v>
      </c>
      <c r="W11" s="15" t="str">
        <f>'N TRIBUTARIO'!V107</f>
        <v>PANCHIMALCO-0610-SUR</v>
      </c>
      <c r="X11" s="15" t="str">
        <f>'N TRIBUTARIO'!W107</f>
        <v>0610-061079-001-0</v>
      </c>
      <c r="Y11" s="15" t="str">
        <f>'N TRIBUTARIO'!X107</f>
        <v>PANCHIMALCO SUR</v>
      </c>
      <c r="Z11" s="15" t="str">
        <f>'N TRIBUTARIO'!Y107</f>
        <v>0610-061079-001-0 PANCHIMALCO SUR</v>
      </c>
      <c r="AA11" s="15" t="str">
        <f>'N TRIBUTARIO'!Z107</f>
        <v>0610 PANCHIMALCO-SUR</v>
      </c>
      <c r="AB11" s="15">
        <f>'N TRIBUTARIO'!AA107</f>
        <v>0</v>
      </c>
      <c r="AC11" s="15">
        <f>'N TRIBUTARIO'!AB107</f>
        <v>0</v>
      </c>
      <c r="AD11" s="15">
        <f>'N TRIBUTARIO'!AC107</f>
        <v>0</v>
      </c>
    </row>
    <row r="12" spans="1:30" ht="19" customHeight="1" x14ac:dyDescent="0.4">
      <c r="A12" s="15">
        <f>'N TRIBUTARIO'!A108</f>
        <v>0</v>
      </c>
      <c r="B12" s="15" t="str">
        <f>'N TRIBUTARIO'!B108</f>
        <v>06</v>
      </c>
      <c r="C12" s="15" t="str">
        <f>'N TRIBUTARIO'!C108</f>
        <v>10</v>
      </c>
      <c r="D12" s="15" t="str">
        <f>'N TRIBUTARIO'!D108</f>
        <v>79</v>
      </c>
      <c r="E12" s="15" t="str">
        <f>'N TRIBUTARIO'!E108</f>
        <v>001</v>
      </c>
      <c r="F12" s="15">
        <f>'N TRIBUTARIO'!F108</f>
        <v>0</v>
      </c>
      <c r="G12" s="15">
        <f>'N TRIBUTARIO'!G108</f>
        <v>107</v>
      </c>
      <c r="H12" s="15" t="str">
        <f>'N TRIBUTARIO'!H108</f>
        <v>0611</v>
      </c>
      <c r="I12" s="15">
        <f>'N TRIBUTARIO'!I108</f>
        <v>0</v>
      </c>
      <c r="J12" s="15" t="s">
        <v>725</v>
      </c>
      <c r="K12" s="15" t="str">
        <f>'N TRIBUTARIO'!J108</f>
        <v>ROSARIO DE MORA</v>
      </c>
      <c r="L12" s="15" t="str">
        <f>'N TRIBUTARIO'!K108</f>
        <v>SUR</v>
      </c>
      <c r="M12" s="15" t="str">
        <f>'N TRIBUTARIO'!L108</f>
        <v>SAN SALVADOR</v>
      </c>
      <c r="N12" s="15">
        <f>'N TRIBUTARIO'!M108</f>
        <v>0</v>
      </c>
      <c r="O12" s="15">
        <f>'N TRIBUTARIO'!N108</f>
        <v>0</v>
      </c>
      <c r="P12" s="15">
        <f>'N TRIBUTARIO'!O108</f>
        <v>0</v>
      </c>
      <c r="Q12" s="15">
        <f>'N TRIBUTARIO'!P108</f>
        <v>0</v>
      </c>
      <c r="R12" s="15">
        <f>'N TRIBUTARIO'!Q108</f>
        <v>0</v>
      </c>
      <c r="S12" s="15">
        <f>'N TRIBUTARIO'!R108</f>
        <v>1</v>
      </c>
      <c r="T12" s="15">
        <f>'N TRIBUTARIO'!S108</f>
        <v>0</v>
      </c>
      <c r="U12" s="15" t="str">
        <f>'N TRIBUTARIO'!T108</f>
        <v>-</v>
      </c>
      <c r="V12" s="15" t="str">
        <f>'N TRIBUTARIO'!U108</f>
        <v xml:space="preserve"> </v>
      </c>
      <c r="W12" s="15" t="str">
        <f>'N TRIBUTARIO'!V108</f>
        <v>ROSARIO DE MORA-0611-SUR</v>
      </c>
      <c r="X12" s="15" t="str">
        <f>'N TRIBUTARIO'!W108</f>
        <v>0611-061079-001-0</v>
      </c>
      <c r="Y12" s="15" t="str">
        <f>'N TRIBUTARIO'!X108</f>
        <v>ROSARIO DE MORA SUR</v>
      </c>
      <c r="Z12" s="15" t="str">
        <f>'N TRIBUTARIO'!Y108</f>
        <v>0611-061079-001-0 ROSARIO DE MORA SUR</v>
      </c>
      <c r="AA12" s="15" t="str">
        <f>'N TRIBUTARIO'!Z108</f>
        <v>0611 ROSARIO DE MORA-SUR</v>
      </c>
      <c r="AB12" s="15">
        <f>'N TRIBUTARIO'!AA108</f>
        <v>0</v>
      </c>
      <c r="AC12" s="15">
        <f>'N TRIBUTARIO'!AB108</f>
        <v>0</v>
      </c>
      <c r="AD12" s="15">
        <f>'N TRIBUTARIO'!AC108</f>
        <v>0</v>
      </c>
    </row>
    <row r="13" spans="1:30" ht="19" customHeight="1" x14ac:dyDescent="0.4">
      <c r="A13" s="15" t="str">
        <f>'N TRIBUTARIO'!A109</f>
        <v>S1</v>
      </c>
      <c r="B13" s="15" t="str">
        <f>'N TRIBUTARIO'!B109</f>
        <v>01</v>
      </c>
      <c r="C13" s="15" t="str">
        <f>'N TRIBUTARIO'!C109</f>
        <v>06</v>
      </c>
      <c r="D13" s="15" t="str">
        <f>'N TRIBUTARIO'!D109</f>
        <v>11</v>
      </c>
      <c r="E13" s="15" t="str">
        <f>'N TRIBUTARIO'!E109</f>
        <v>001</v>
      </c>
      <c r="F13" s="15">
        <f>'N TRIBUTARIO'!F109</f>
        <v>0</v>
      </c>
      <c r="G13" s="15">
        <f>'N TRIBUTARIO'!G109</f>
        <v>108</v>
      </c>
      <c r="H13" s="15" t="str">
        <f>'N TRIBUTARIO'!H109</f>
        <v>0612</v>
      </c>
      <c r="I13" s="15">
        <f>'N TRIBUTARIO'!I109</f>
        <v>0</v>
      </c>
      <c r="J13" s="15" t="s">
        <v>725</v>
      </c>
      <c r="K13" s="15" t="str">
        <f>'N TRIBUTARIO'!J109</f>
        <v>SAN MARCOS</v>
      </c>
      <c r="L13" s="15" t="str">
        <f>'N TRIBUTARIO'!K109</f>
        <v>SUR</v>
      </c>
      <c r="M13" s="15" t="str">
        <f>'N TRIBUTARIO'!L109</f>
        <v>SAN SALVADOR</v>
      </c>
      <c r="N13" s="15">
        <f>'N TRIBUTARIO'!M109</f>
        <v>0</v>
      </c>
      <c r="O13" s="15">
        <f>'N TRIBUTARIO'!N109</f>
        <v>0</v>
      </c>
      <c r="P13" s="15">
        <f>'N TRIBUTARIO'!O109</f>
        <v>0</v>
      </c>
      <c r="Q13" s="15">
        <f>'N TRIBUTARIO'!P109</f>
        <v>0</v>
      </c>
      <c r="R13" s="15">
        <f>'N TRIBUTARIO'!Q109</f>
        <v>0</v>
      </c>
      <c r="S13" s="15">
        <f>'N TRIBUTARIO'!R109</f>
        <v>1</v>
      </c>
      <c r="T13" s="15">
        <f>'N TRIBUTARIO'!S109</f>
        <v>0</v>
      </c>
      <c r="U13" s="15" t="str">
        <f>'N TRIBUTARIO'!T109</f>
        <v>-</v>
      </c>
      <c r="V13" s="15" t="str">
        <f>'N TRIBUTARIO'!U109</f>
        <v xml:space="preserve"> </v>
      </c>
      <c r="W13" s="15" t="str">
        <f>'N TRIBUTARIO'!V109</f>
        <v>SAN MARCOS-0612-SUR</v>
      </c>
      <c r="X13" s="15" t="str">
        <f>'N TRIBUTARIO'!W109</f>
        <v>0612-010611-001-0</v>
      </c>
      <c r="Y13" s="15" t="str">
        <f>'N TRIBUTARIO'!X109</f>
        <v>SAN MARCOS SUR</v>
      </c>
      <c r="Z13" s="15" t="str">
        <f>'N TRIBUTARIO'!Y109</f>
        <v>0612-010611-001-0 SAN MARCOS SUR</v>
      </c>
      <c r="AA13" s="15" t="str">
        <f>'N TRIBUTARIO'!Z109</f>
        <v>0612 SAN MARCOS-SUR</v>
      </c>
      <c r="AB13" s="15">
        <f>'N TRIBUTARIO'!AA109</f>
        <v>198.75</v>
      </c>
      <c r="AC13" s="15">
        <f>'N TRIBUTARIO'!AB109</f>
        <v>160618</v>
      </c>
      <c r="AD13" s="15">
        <f>'N TRIBUTARIO'!AC109</f>
        <v>808.14</v>
      </c>
    </row>
    <row r="14" spans="1:30" ht="19" customHeight="1" x14ac:dyDescent="0.4">
      <c r="A14" s="15">
        <f>'N TRIBUTARIO'!A110</f>
        <v>0</v>
      </c>
      <c r="B14" s="15" t="str">
        <f>'N TRIBUTARIO'!B110</f>
        <v>10</v>
      </c>
      <c r="C14" s="15" t="str">
        <f>'N TRIBUTARIO'!C110</f>
        <v>08</v>
      </c>
      <c r="D14" s="15" t="str">
        <f>'N TRIBUTARIO'!D110</f>
        <v>77</v>
      </c>
      <c r="E14" s="15" t="str">
        <f>'N TRIBUTARIO'!E110</f>
        <v>001</v>
      </c>
      <c r="F14" s="15">
        <f>'N TRIBUTARIO'!F110</f>
        <v>4</v>
      </c>
      <c r="G14" s="15">
        <f>'N TRIBUTARIO'!G110</f>
        <v>109</v>
      </c>
      <c r="H14" s="15" t="str">
        <f>'N TRIBUTARIO'!H110</f>
        <v>0613</v>
      </c>
      <c r="I14" s="15">
        <f>'N TRIBUTARIO'!I110</f>
        <v>0</v>
      </c>
      <c r="J14" s="15" t="s">
        <v>725</v>
      </c>
      <c r="K14" s="15" t="str">
        <f>'N TRIBUTARIO'!J110</f>
        <v>SAN MARTIN</v>
      </c>
      <c r="L14" s="15" t="str">
        <f>'N TRIBUTARIO'!K110</f>
        <v>ESTE</v>
      </c>
      <c r="M14" s="15" t="str">
        <f>'N TRIBUTARIO'!L110</f>
        <v>SAN SALVADOR</v>
      </c>
      <c r="N14" s="15">
        <f>'N TRIBUTARIO'!M110</f>
        <v>0</v>
      </c>
      <c r="O14" s="15">
        <f>'N TRIBUTARIO'!N110</f>
        <v>0</v>
      </c>
      <c r="P14" s="15">
        <f>'N TRIBUTARIO'!O110</f>
        <v>1</v>
      </c>
      <c r="Q14" s="15">
        <f>'N TRIBUTARIO'!P110</f>
        <v>0</v>
      </c>
      <c r="R14" s="15">
        <f>'N TRIBUTARIO'!Q110</f>
        <v>0</v>
      </c>
      <c r="S14" s="15">
        <f>'N TRIBUTARIO'!R110</f>
        <v>0</v>
      </c>
      <c r="T14" s="15">
        <f>'N TRIBUTARIO'!S110</f>
        <v>0</v>
      </c>
      <c r="U14" s="15" t="str">
        <f>'N TRIBUTARIO'!T110</f>
        <v>-</v>
      </c>
      <c r="V14" s="15" t="str">
        <f>'N TRIBUTARIO'!U110</f>
        <v xml:space="preserve"> </v>
      </c>
      <c r="W14" s="15" t="str">
        <f>'N TRIBUTARIO'!V110</f>
        <v>SAN MARTIN-0613-ESTE</v>
      </c>
      <c r="X14" s="15" t="str">
        <f>'N TRIBUTARIO'!W110</f>
        <v>0613-100877-001-4</v>
      </c>
      <c r="Y14" s="15" t="str">
        <f>'N TRIBUTARIO'!X110</f>
        <v>SAN MARTIN ESTE</v>
      </c>
      <c r="Z14" s="15" t="str">
        <f>'N TRIBUTARIO'!Y110</f>
        <v>0613-100877-001-4 SAN MARTIN ESTE</v>
      </c>
      <c r="AA14" s="15" t="str">
        <f>'N TRIBUTARIO'!Z110</f>
        <v>0613 SAN MARTIN-ESTE</v>
      </c>
      <c r="AB14" s="15">
        <f>'N TRIBUTARIO'!AA110</f>
        <v>0</v>
      </c>
      <c r="AC14" s="15">
        <f>'N TRIBUTARIO'!AB110</f>
        <v>0</v>
      </c>
      <c r="AD14" s="15">
        <f>'N TRIBUTARIO'!AC110</f>
        <v>0</v>
      </c>
    </row>
    <row r="15" spans="1:30" ht="19" customHeight="1" x14ac:dyDescent="0.4">
      <c r="A15" s="15" t="str">
        <f>'N TRIBUTARIO'!A111</f>
        <v>1C</v>
      </c>
      <c r="B15" s="15" t="str">
        <f>'N TRIBUTARIO'!B111</f>
        <v>01</v>
      </c>
      <c r="C15" s="15" t="str">
        <f>'N TRIBUTARIO'!C111</f>
        <v>06</v>
      </c>
      <c r="D15" s="15" t="str">
        <f>'N TRIBUTARIO'!D111</f>
        <v>11</v>
      </c>
      <c r="E15" s="15" t="str">
        <f>'N TRIBUTARIO'!E111</f>
        <v>002</v>
      </c>
      <c r="F15" s="15">
        <f>'N TRIBUTARIO'!F111</f>
        <v>2</v>
      </c>
      <c r="G15" s="15">
        <f>'N TRIBUTARIO'!G111</f>
        <v>110</v>
      </c>
      <c r="H15" s="15" t="str">
        <f>'N TRIBUTARIO'!H111</f>
        <v>0614</v>
      </c>
      <c r="I15" s="15">
        <f>'N TRIBUTARIO'!I111</f>
        <v>6</v>
      </c>
      <c r="J15" s="15" t="s">
        <v>725</v>
      </c>
      <c r="K15" s="15" t="str">
        <f>'N TRIBUTARIO'!J111</f>
        <v>SAN SALVADOR</v>
      </c>
      <c r="L15" s="15" t="str">
        <f>'N TRIBUTARIO'!K111</f>
        <v>CENTRO</v>
      </c>
      <c r="M15" s="15" t="str">
        <f>'N TRIBUTARIO'!L111</f>
        <v>SAN SALVADOR CENTRO</v>
      </c>
      <c r="N15" s="15">
        <f>'N TRIBUTARIO'!M111</f>
        <v>1</v>
      </c>
      <c r="O15" s="15">
        <f>'N TRIBUTARIO'!N111</f>
        <v>0</v>
      </c>
      <c r="P15" s="15">
        <f>'N TRIBUTARIO'!O111</f>
        <v>0</v>
      </c>
      <c r="Q15" s="15">
        <f>'N TRIBUTARIO'!P111</f>
        <v>0</v>
      </c>
      <c r="R15" s="15">
        <f>'N TRIBUTARIO'!Q111</f>
        <v>0</v>
      </c>
      <c r="S15" s="15">
        <f>'N TRIBUTARIO'!R111</f>
        <v>0</v>
      </c>
      <c r="T15" s="15">
        <f>'N TRIBUTARIO'!S111</f>
        <v>0</v>
      </c>
      <c r="U15" s="15" t="str">
        <f>'N TRIBUTARIO'!T111</f>
        <v>-</v>
      </c>
      <c r="V15" s="15" t="str">
        <f>'N TRIBUTARIO'!U111</f>
        <v xml:space="preserve"> </v>
      </c>
      <c r="W15" s="15" t="str">
        <f>'N TRIBUTARIO'!V111</f>
        <v>SAN SALVADOR-0614-CENTRO</v>
      </c>
      <c r="X15" s="15" t="str">
        <f>'N TRIBUTARIO'!W111</f>
        <v>0614-010611-002-2</v>
      </c>
      <c r="Y15" s="15" t="str">
        <f>'N TRIBUTARIO'!X111</f>
        <v>SAN SALVADOR CENTRO</v>
      </c>
      <c r="Z15" s="15" t="str">
        <f>'N TRIBUTARIO'!Y111</f>
        <v>0614-010611-002-2 SAN SALVADOR CENTRO</v>
      </c>
      <c r="AA15" s="15" t="str">
        <f>'N TRIBUTARIO'!Z111</f>
        <v>0614 SAN SALVADOR-CENTRO</v>
      </c>
      <c r="AB15" s="15">
        <f>'N TRIBUTARIO'!AA111</f>
        <v>141.6</v>
      </c>
      <c r="AC15" s="15">
        <f>'N TRIBUTARIO'!AB111</f>
        <v>702061</v>
      </c>
      <c r="AD15" s="15">
        <f>'N TRIBUTARIO'!AC111</f>
        <v>4958.0600000000004</v>
      </c>
    </row>
    <row r="16" spans="1:30" ht="19" customHeight="1" x14ac:dyDescent="0.4">
      <c r="A16" s="15">
        <f>'N TRIBUTARIO'!A112</f>
        <v>0</v>
      </c>
      <c r="B16" s="15" t="str">
        <f>'N TRIBUTARIO'!B112</f>
        <v>06</v>
      </c>
      <c r="C16" s="15" t="str">
        <f>'N TRIBUTARIO'!C112</f>
        <v>10</v>
      </c>
      <c r="D16" s="15" t="str">
        <f>'N TRIBUTARIO'!D112</f>
        <v>79</v>
      </c>
      <c r="E16" s="15" t="str">
        <f>'N TRIBUTARIO'!E112</f>
        <v>001</v>
      </c>
      <c r="F16" s="15">
        <f>'N TRIBUTARIO'!F112</f>
        <v>0</v>
      </c>
      <c r="G16" s="15">
        <f>'N TRIBUTARIO'!G112</f>
        <v>111</v>
      </c>
      <c r="H16" s="15" t="str">
        <f>'N TRIBUTARIO'!H112</f>
        <v>0615</v>
      </c>
      <c r="I16" s="15">
        <f>'N TRIBUTARIO'!I112</f>
        <v>0</v>
      </c>
      <c r="J16" s="15" t="s">
        <v>725</v>
      </c>
      <c r="K16" s="15" t="str">
        <f>'N TRIBUTARIO'!J112</f>
        <v>SANTIAGO TEXACUANGOS</v>
      </c>
      <c r="L16" s="15" t="str">
        <f>'N TRIBUTARIO'!K112</f>
        <v>SUR</v>
      </c>
      <c r="M16" s="15" t="str">
        <f>'N TRIBUTARIO'!L112</f>
        <v>SAN SALVADOR</v>
      </c>
      <c r="N16" s="15">
        <f>'N TRIBUTARIO'!M112</f>
        <v>0</v>
      </c>
      <c r="O16" s="15">
        <f>'N TRIBUTARIO'!N112</f>
        <v>0</v>
      </c>
      <c r="P16" s="15">
        <f>'N TRIBUTARIO'!O112</f>
        <v>0</v>
      </c>
      <c r="Q16" s="15">
        <f>'N TRIBUTARIO'!P112</f>
        <v>0</v>
      </c>
      <c r="R16" s="15">
        <f>'N TRIBUTARIO'!Q112</f>
        <v>0</v>
      </c>
      <c r="S16" s="15">
        <f>'N TRIBUTARIO'!R112</f>
        <v>1</v>
      </c>
      <c r="T16" s="15">
        <f>'N TRIBUTARIO'!S112</f>
        <v>0</v>
      </c>
      <c r="U16" s="15" t="str">
        <f>'N TRIBUTARIO'!T112</f>
        <v>-</v>
      </c>
      <c r="V16" s="15" t="str">
        <f>'N TRIBUTARIO'!U112</f>
        <v xml:space="preserve"> </v>
      </c>
      <c r="W16" s="15" t="str">
        <f>'N TRIBUTARIO'!V112</f>
        <v>SANTIAGO TEXACUANGOS-0615-SUR</v>
      </c>
      <c r="X16" s="15" t="str">
        <f>'N TRIBUTARIO'!W112</f>
        <v>0615-061079-001-0</v>
      </c>
      <c r="Y16" s="15" t="str">
        <f>'N TRIBUTARIO'!X112</f>
        <v>SANTIAGO TEXACUANGOS SUR</v>
      </c>
      <c r="Z16" s="15" t="str">
        <f>'N TRIBUTARIO'!Y112</f>
        <v>0615-061079-001-0 SANTIAGO TEXACUANGOS SUR</v>
      </c>
      <c r="AA16" s="15" t="str">
        <f>'N TRIBUTARIO'!Z112</f>
        <v>0615 SANTIAGO TEXACUANGOS-SUR</v>
      </c>
      <c r="AB16" s="15">
        <f>'N TRIBUTARIO'!AA112</f>
        <v>0</v>
      </c>
      <c r="AC16" s="15">
        <f>'N TRIBUTARIO'!AB112</f>
        <v>0</v>
      </c>
      <c r="AD16" s="15">
        <f>'N TRIBUTARIO'!AC112</f>
        <v>0</v>
      </c>
    </row>
    <row r="17" spans="1:30" ht="19" customHeight="1" x14ac:dyDescent="0.4">
      <c r="A17" s="15">
        <f>'N TRIBUTARIO'!A113</f>
        <v>0</v>
      </c>
      <c r="B17" s="15" t="str">
        <f>'N TRIBUTARIO'!B113</f>
        <v>06</v>
      </c>
      <c r="C17" s="15" t="str">
        <f>'N TRIBUTARIO'!C113</f>
        <v>10</v>
      </c>
      <c r="D17" s="15" t="str">
        <f>'N TRIBUTARIO'!D113</f>
        <v>79</v>
      </c>
      <c r="E17" s="15" t="str">
        <f>'N TRIBUTARIO'!E113</f>
        <v>001</v>
      </c>
      <c r="F17" s="15">
        <f>'N TRIBUTARIO'!F113</f>
        <v>0</v>
      </c>
      <c r="G17" s="15">
        <f>'N TRIBUTARIO'!G113</f>
        <v>112</v>
      </c>
      <c r="H17" s="15" t="str">
        <f>'N TRIBUTARIO'!H113</f>
        <v>0616</v>
      </c>
      <c r="I17" s="15">
        <f>'N TRIBUTARIO'!I113</f>
        <v>0</v>
      </c>
      <c r="J17" s="15" t="s">
        <v>725</v>
      </c>
      <c r="K17" s="15" t="str">
        <f>'N TRIBUTARIO'!J113</f>
        <v>SANTO TOMAS</v>
      </c>
      <c r="L17" s="15" t="str">
        <f>'N TRIBUTARIO'!K113</f>
        <v>SUR</v>
      </c>
      <c r="M17" s="15" t="str">
        <f>'N TRIBUTARIO'!L113</f>
        <v>SAN SALVADOR</v>
      </c>
      <c r="N17" s="15">
        <f>'N TRIBUTARIO'!M113</f>
        <v>0</v>
      </c>
      <c r="O17" s="15">
        <f>'N TRIBUTARIO'!N113</f>
        <v>0</v>
      </c>
      <c r="P17" s="15">
        <f>'N TRIBUTARIO'!O113</f>
        <v>0</v>
      </c>
      <c r="Q17" s="15">
        <f>'N TRIBUTARIO'!P113</f>
        <v>0</v>
      </c>
      <c r="R17" s="15">
        <f>'N TRIBUTARIO'!Q113</f>
        <v>0</v>
      </c>
      <c r="S17" s="15">
        <f>'N TRIBUTARIO'!R113</f>
        <v>1</v>
      </c>
      <c r="T17" s="15">
        <f>'N TRIBUTARIO'!S113</f>
        <v>0</v>
      </c>
      <c r="U17" s="15" t="str">
        <f>'N TRIBUTARIO'!T113</f>
        <v>-</v>
      </c>
      <c r="V17" s="15" t="str">
        <f>'N TRIBUTARIO'!U113</f>
        <v xml:space="preserve"> </v>
      </c>
      <c r="W17" s="15" t="str">
        <f>'N TRIBUTARIO'!V113</f>
        <v>SANTO TOMAS-0616-SUR</v>
      </c>
      <c r="X17" s="15" t="str">
        <f>'N TRIBUTARIO'!W113</f>
        <v>0616-061079-001-0</v>
      </c>
      <c r="Y17" s="15" t="str">
        <f>'N TRIBUTARIO'!X113</f>
        <v>SANTO TOMAS SUR</v>
      </c>
      <c r="Z17" s="15" t="str">
        <f>'N TRIBUTARIO'!Y113</f>
        <v>0616-061079-001-0 SANTO TOMAS SUR</v>
      </c>
      <c r="AA17" s="15" t="str">
        <f>'N TRIBUTARIO'!Z113</f>
        <v>0616 SANTO TOMAS-SUR</v>
      </c>
      <c r="AB17" s="15">
        <f>'N TRIBUTARIO'!AA113</f>
        <v>0</v>
      </c>
      <c r="AC17" s="15">
        <f>'N TRIBUTARIO'!AB113</f>
        <v>0</v>
      </c>
      <c r="AD17" s="15">
        <f>'N TRIBUTARIO'!AC113</f>
        <v>0</v>
      </c>
    </row>
    <row r="18" spans="1:30" ht="19" customHeight="1" x14ac:dyDescent="0.4">
      <c r="A18" s="15">
        <f>'N TRIBUTARIO'!A114</f>
        <v>0</v>
      </c>
      <c r="B18" s="15" t="str">
        <f>'N TRIBUTARIO'!B114</f>
        <v>01</v>
      </c>
      <c r="C18" s="15" t="str">
        <f>'N TRIBUTARIO'!C114</f>
        <v>06</v>
      </c>
      <c r="D18" s="15" t="str">
        <f>'N TRIBUTARIO'!D114</f>
        <v>11</v>
      </c>
      <c r="E18" s="15" t="str">
        <f>'N TRIBUTARIO'!E114</f>
        <v>001</v>
      </c>
      <c r="F18" s="15">
        <f>'N TRIBUTARIO'!F114</f>
        <v>0</v>
      </c>
      <c r="G18" s="15">
        <f>'N TRIBUTARIO'!G114</f>
        <v>113</v>
      </c>
      <c r="H18" s="15" t="str">
        <f>'N TRIBUTARIO'!H114</f>
        <v>0617</v>
      </c>
      <c r="I18" s="15">
        <f>'N TRIBUTARIO'!I114</f>
        <v>0</v>
      </c>
      <c r="J18" s="15" t="s">
        <v>725</v>
      </c>
      <c r="K18" s="15" t="str">
        <f>'N TRIBUTARIO'!J114</f>
        <v>SOYAPANGO</v>
      </c>
      <c r="L18" s="15" t="str">
        <f>'N TRIBUTARIO'!K114</f>
        <v>ESTE</v>
      </c>
      <c r="M18" s="15" t="str">
        <f>'N TRIBUTARIO'!L114</f>
        <v>SAN SALVADOR</v>
      </c>
      <c r="N18" s="15">
        <f>'N TRIBUTARIO'!M114</f>
        <v>0</v>
      </c>
      <c r="O18" s="15">
        <f>'N TRIBUTARIO'!N114</f>
        <v>0</v>
      </c>
      <c r="P18" s="15">
        <f>'N TRIBUTARIO'!O114</f>
        <v>1</v>
      </c>
      <c r="Q18" s="15">
        <f>'N TRIBUTARIO'!P114</f>
        <v>0</v>
      </c>
      <c r="R18" s="15">
        <f>'N TRIBUTARIO'!Q114</f>
        <v>0</v>
      </c>
      <c r="S18" s="15">
        <f>'N TRIBUTARIO'!R114</f>
        <v>0</v>
      </c>
      <c r="T18" s="15">
        <f>'N TRIBUTARIO'!S114</f>
        <v>0</v>
      </c>
      <c r="U18" s="15" t="str">
        <f>'N TRIBUTARIO'!T114</f>
        <v>-</v>
      </c>
      <c r="V18" s="15" t="str">
        <f>'N TRIBUTARIO'!U114</f>
        <v xml:space="preserve"> </v>
      </c>
      <c r="W18" s="15" t="str">
        <f>'N TRIBUTARIO'!V114</f>
        <v>SOYAPANGO-0617-ESTE</v>
      </c>
      <c r="X18" s="15" t="str">
        <f>'N TRIBUTARIO'!W114</f>
        <v>0617-010611-001-0</v>
      </c>
      <c r="Y18" s="15" t="str">
        <f>'N TRIBUTARIO'!X114</f>
        <v>SOYAPANGO ESTE</v>
      </c>
      <c r="Z18" s="15" t="str">
        <f>'N TRIBUTARIO'!Y114</f>
        <v>0617-010611-001-0 SOYAPANGO ESTE</v>
      </c>
      <c r="AA18" s="15" t="str">
        <f>'N TRIBUTARIO'!Z114</f>
        <v>0617 SOYAPANGO-ESTE</v>
      </c>
      <c r="AB18" s="15">
        <f>'N TRIBUTARIO'!AA114</f>
        <v>0</v>
      </c>
      <c r="AC18" s="15">
        <f>'N TRIBUTARIO'!AB114</f>
        <v>0</v>
      </c>
      <c r="AD18" s="15">
        <f>'N TRIBUTARIO'!AC114</f>
        <v>0</v>
      </c>
    </row>
    <row r="19" spans="1:30" ht="19" customHeight="1" x14ac:dyDescent="0.4">
      <c r="A19" s="15">
        <f>'N TRIBUTARIO'!A115</f>
        <v>0</v>
      </c>
      <c r="B19" s="15" t="str">
        <f>'N TRIBUTARIO'!B115</f>
        <v>06</v>
      </c>
      <c r="C19" s="15" t="str">
        <f>'N TRIBUTARIO'!C115</f>
        <v>02</v>
      </c>
      <c r="D19" s="15" t="str">
        <f>'N TRIBUTARIO'!D115</f>
        <v>78</v>
      </c>
      <c r="E19" s="15" t="str">
        <f>'N TRIBUTARIO'!E115</f>
        <v>001</v>
      </c>
      <c r="F19" s="15">
        <f>'N TRIBUTARIO'!F115</f>
        <v>1</v>
      </c>
      <c r="G19" s="15">
        <f>'N TRIBUTARIO'!G115</f>
        <v>114</v>
      </c>
      <c r="H19" s="15" t="str">
        <f>'N TRIBUTARIO'!H115</f>
        <v>0618</v>
      </c>
      <c r="I19" s="15">
        <f>'N TRIBUTARIO'!I115</f>
        <v>0</v>
      </c>
      <c r="J19" s="15" t="s">
        <v>725</v>
      </c>
      <c r="K19" s="15" t="str">
        <f>'N TRIBUTARIO'!J115</f>
        <v>TONACATEPEQUE</v>
      </c>
      <c r="L19" s="15" t="str">
        <f>'N TRIBUTARIO'!K115</f>
        <v>ESTE</v>
      </c>
      <c r="M19" s="15" t="str">
        <f>'N TRIBUTARIO'!L115</f>
        <v>SAN SALVADOR</v>
      </c>
      <c r="N19" s="15">
        <f>'N TRIBUTARIO'!M115</f>
        <v>0</v>
      </c>
      <c r="O19" s="15">
        <f>'N TRIBUTARIO'!N115</f>
        <v>0</v>
      </c>
      <c r="P19" s="15">
        <f>'N TRIBUTARIO'!O115</f>
        <v>1</v>
      </c>
      <c r="Q19" s="15">
        <f>'N TRIBUTARIO'!P115</f>
        <v>0</v>
      </c>
      <c r="R19" s="15">
        <f>'N TRIBUTARIO'!Q115</f>
        <v>0</v>
      </c>
      <c r="S19" s="15">
        <f>'N TRIBUTARIO'!R115</f>
        <v>0</v>
      </c>
      <c r="T19" s="15">
        <f>'N TRIBUTARIO'!S115</f>
        <v>0</v>
      </c>
      <c r="U19" s="15" t="str">
        <f>'N TRIBUTARIO'!T115</f>
        <v>-</v>
      </c>
      <c r="V19" s="15" t="str">
        <f>'N TRIBUTARIO'!U115</f>
        <v xml:space="preserve"> </v>
      </c>
      <c r="W19" s="15" t="str">
        <f>'N TRIBUTARIO'!V115</f>
        <v>TONACATEPEQUE-0618-ESTE</v>
      </c>
      <c r="X19" s="15" t="str">
        <f>'N TRIBUTARIO'!W115</f>
        <v>0618-060278-001-1</v>
      </c>
      <c r="Y19" s="15" t="str">
        <f>'N TRIBUTARIO'!X115</f>
        <v>TONACATEPEQUE ESTE</v>
      </c>
      <c r="Z19" s="15" t="str">
        <f>'N TRIBUTARIO'!Y115</f>
        <v>0618-060278-001-1 TONACATEPEQUE ESTE</v>
      </c>
      <c r="AA19" s="15" t="str">
        <f>'N TRIBUTARIO'!Z115</f>
        <v>0618 TONACATEPEQUE-ESTE</v>
      </c>
      <c r="AB19" s="15">
        <f>'N TRIBUTARIO'!AA115</f>
        <v>0</v>
      </c>
      <c r="AC19" s="15">
        <f>'N TRIBUTARIO'!AB115</f>
        <v>0</v>
      </c>
      <c r="AD19" s="15">
        <f>'N TRIBUTARIO'!AC115</f>
        <v>0</v>
      </c>
    </row>
    <row r="20" spans="1:30" ht="19" customHeight="1" x14ac:dyDescent="0.4">
      <c r="A20" s="15">
        <f>'N TRIBUTARIO'!A116</f>
        <v>0</v>
      </c>
      <c r="B20" s="15" t="str">
        <f>'N TRIBUTARIO'!B116</f>
        <v>01</v>
      </c>
      <c r="C20" s="15" t="str">
        <f>'N TRIBUTARIO'!C116</f>
        <v>06</v>
      </c>
      <c r="D20" s="15" t="str">
        <f>'N TRIBUTARIO'!D116</f>
        <v>11</v>
      </c>
      <c r="E20" s="15" t="str">
        <f>'N TRIBUTARIO'!E116</f>
        <v>001</v>
      </c>
      <c r="F20" s="15">
        <f>'N TRIBUTARIO'!F116</f>
        <v>0</v>
      </c>
      <c r="G20" s="15">
        <f>'N TRIBUTARIO'!G116</f>
        <v>115</v>
      </c>
      <c r="H20" s="15" t="str">
        <f>'N TRIBUTARIO'!H116</f>
        <v>0619</v>
      </c>
      <c r="I20" s="15">
        <f>'N TRIBUTARIO'!I116</f>
        <v>0</v>
      </c>
      <c r="J20" s="15" t="s">
        <v>725</v>
      </c>
      <c r="K20" s="15" t="str">
        <f>'N TRIBUTARIO'!J116</f>
        <v>CIUDAD DELGADO</v>
      </c>
      <c r="L20" s="15" t="str">
        <f>'N TRIBUTARIO'!K116</f>
        <v>CENTRO</v>
      </c>
      <c r="M20" s="15" t="str">
        <f>'N TRIBUTARIO'!L116</f>
        <v>SAN SALVADOR</v>
      </c>
      <c r="N20" s="15">
        <f>'N TRIBUTARIO'!M116</f>
        <v>1</v>
      </c>
      <c r="O20" s="15">
        <f>'N TRIBUTARIO'!N116</f>
        <v>0</v>
      </c>
      <c r="P20" s="15">
        <f>'N TRIBUTARIO'!O116</f>
        <v>0</v>
      </c>
      <c r="Q20" s="15">
        <f>'N TRIBUTARIO'!P116</f>
        <v>0</v>
      </c>
      <c r="R20" s="15">
        <f>'N TRIBUTARIO'!Q116</f>
        <v>0</v>
      </c>
      <c r="S20" s="15">
        <f>'N TRIBUTARIO'!R116</f>
        <v>0</v>
      </c>
      <c r="T20" s="15">
        <f>'N TRIBUTARIO'!S116</f>
        <v>0</v>
      </c>
      <c r="U20" s="15" t="str">
        <f>'N TRIBUTARIO'!T116</f>
        <v>-</v>
      </c>
      <c r="V20" s="15" t="str">
        <f>'N TRIBUTARIO'!U116</f>
        <v xml:space="preserve"> </v>
      </c>
      <c r="W20" s="15" t="str">
        <f>'N TRIBUTARIO'!V116</f>
        <v>CIUDAD DELGADO-0619-CENTRO</v>
      </c>
      <c r="X20" s="15" t="str">
        <f>'N TRIBUTARIO'!W116</f>
        <v>0619-010611-001-0</v>
      </c>
      <c r="Y20" s="15" t="str">
        <f>'N TRIBUTARIO'!X116</f>
        <v>CIUDAD DELGADO CENTRO</v>
      </c>
      <c r="Z20" s="15" t="str">
        <f>'N TRIBUTARIO'!Y116</f>
        <v>0619-010611-001-0 CIUDAD DELGADO CENTRO</v>
      </c>
      <c r="AA20" s="15" t="str">
        <f>'N TRIBUTARIO'!Z116</f>
        <v>0619 CIUDAD DELGADO-CENTRO</v>
      </c>
      <c r="AB20" s="15">
        <f>'N TRIBUTARIO'!AA116</f>
        <v>0</v>
      </c>
      <c r="AC20" s="15">
        <f>'N TRIBUTARIO'!AB116</f>
        <v>0</v>
      </c>
      <c r="AD20" s="15">
        <f>'N TRIBUTARIO'!AC116</f>
        <v>0</v>
      </c>
    </row>
    <row r="21" spans="1:30" ht="19" customHeight="1" x14ac:dyDescent="0.4">
      <c r="N21" s="1">
        <f>SUM(N2:N20)</f>
        <v>5</v>
      </c>
      <c r="O21" s="1">
        <f t="shared" ref="O21:T21" si="0">SUM(O2:O20)</f>
        <v>0</v>
      </c>
      <c r="P21" s="1">
        <f t="shared" si="0"/>
        <v>4</v>
      </c>
      <c r="Q21" s="1">
        <f t="shared" si="0"/>
        <v>3</v>
      </c>
      <c r="R21" s="1">
        <f t="shared" si="0"/>
        <v>2</v>
      </c>
      <c r="S21" s="1">
        <f t="shared" si="0"/>
        <v>5</v>
      </c>
      <c r="T21" s="1">
        <f t="shared" si="0"/>
        <v>0</v>
      </c>
    </row>
    <row r="22" spans="1:30" ht="19" customHeight="1" x14ac:dyDescent="0.4">
      <c r="J22" s="1" t="str">
        <f>N1</f>
        <v>CENTRO</v>
      </c>
      <c r="K22" s="1" t="str">
        <f>CONCATENATE(K4,J4,K5,J5,K9,J9,K15,J15,K20)</f>
        <v>AYUTUXTEPEQUE, CUSCATANCINGO, MEJICANOS, SAN SALVADOR, CIUDAD DELGADO</v>
      </c>
    </row>
    <row r="23" spans="1:30" ht="19" customHeight="1" x14ac:dyDescent="0.4">
      <c r="J23" s="1" t="str">
        <f>P1</f>
        <v>ESTE</v>
      </c>
      <c r="K23" s="1" t="str">
        <f>CONCATENATE(K8,J8,K14,J14,K18,J18,K19)</f>
        <v>ILOPANGO, SAN MARTIN, SOYAPANGO, TONACATEPEQUE</v>
      </c>
    </row>
    <row r="24" spans="1:30" ht="19" customHeight="1" x14ac:dyDescent="0.4">
      <c r="J24" s="1" t="str">
        <f>Q1</f>
        <v>NORTE</v>
      </c>
      <c r="K24" s="1" t="str">
        <f>CONCATENATE(K2,J2,K6,J6,K7)</f>
        <v>AGUILARES, EL PAISNAL, GUAZAPA</v>
      </c>
    </row>
    <row r="25" spans="1:30" ht="19" customHeight="1" x14ac:dyDescent="0.4">
      <c r="J25" s="1" t="str">
        <f>R1</f>
        <v>OESTE</v>
      </c>
      <c r="K25" s="1" t="str">
        <f>CONCATENATE(K3,J3,K10)</f>
        <v>APOPA, NEJAPA</v>
      </c>
    </row>
    <row r="26" spans="1:30" ht="19" customHeight="1" x14ac:dyDescent="0.4">
      <c r="J26" s="1" t="str">
        <f>S1</f>
        <v>SUR</v>
      </c>
      <c r="K26" s="1" t="str">
        <f>CONCATENATE(K11,J11,K12,J12,K13,J13,K16,J16,K17)</f>
        <v>PANCHIMALCO, ROSARIO DE MORA, SAN MARCOS, SANTIAGO TEXACUANGOS, SANTO TOMAS</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4F98-435C-4F6A-982F-D94C4C6E4244}">
  <sheetPr codeName="Hoja14"/>
  <dimension ref="A1:AD20"/>
  <sheetViews>
    <sheetView showZeros="0" topLeftCell="A4"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4">
        <f>'N TRIBUTARIO'!A117</f>
        <v>0</v>
      </c>
      <c r="B2" s="14" t="str">
        <f>'N TRIBUTARIO'!B117</f>
        <v>07</v>
      </c>
      <c r="C2" s="14" t="str">
        <f>'N TRIBUTARIO'!C117</f>
        <v>10</v>
      </c>
      <c r="D2" s="14" t="str">
        <f>'N TRIBUTARIO'!D117</f>
        <v>79</v>
      </c>
      <c r="E2" s="14" t="str">
        <f>'N TRIBUTARIO'!E117</f>
        <v>001</v>
      </c>
      <c r="F2" s="14">
        <f>'N TRIBUTARIO'!F117</f>
        <v>9</v>
      </c>
      <c r="G2" s="14">
        <f>'N TRIBUTARIO'!G117</f>
        <v>116</v>
      </c>
      <c r="H2" s="14" t="str">
        <f>'N TRIBUTARIO'!H117</f>
        <v>0701</v>
      </c>
      <c r="I2" s="14">
        <f>'N TRIBUTARIO'!I117</f>
        <v>0</v>
      </c>
      <c r="J2" s="14" t="s">
        <v>725</v>
      </c>
      <c r="K2" s="14" t="str">
        <f>'N TRIBUTARIO'!J117</f>
        <v>CANDELARIA</v>
      </c>
      <c r="L2" s="14" t="str">
        <f>'N TRIBUTARIO'!K117</f>
        <v>SUR</v>
      </c>
      <c r="M2" s="14" t="str">
        <f>'N TRIBUTARIO'!L117</f>
        <v>CUSCATLAN</v>
      </c>
      <c r="N2" s="14">
        <f>'N TRIBUTARIO'!M117</f>
        <v>0</v>
      </c>
      <c r="O2" s="14">
        <f>'N TRIBUTARIO'!N117</f>
        <v>0</v>
      </c>
      <c r="P2" s="14">
        <f>'N TRIBUTARIO'!O117</f>
        <v>0</v>
      </c>
      <c r="Q2" s="14">
        <f>'N TRIBUTARIO'!P117</f>
        <v>0</v>
      </c>
      <c r="R2" s="14">
        <f>'N TRIBUTARIO'!Q117</f>
        <v>0</v>
      </c>
      <c r="S2" s="14">
        <f>'N TRIBUTARIO'!R117</f>
        <v>1</v>
      </c>
      <c r="T2" s="14">
        <f>'N TRIBUTARIO'!S117</f>
        <v>0</v>
      </c>
      <c r="U2" s="14" t="str">
        <f>'N TRIBUTARIO'!T117</f>
        <v>-</v>
      </c>
      <c r="V2" s="14" t="str">
        <f>'N TRIBUTARIO'!U117</f>
        <v xml:space="preserve"> </v>
      </c>
      <c r="W2" s="14" t="str">
        <f>'N TRIBUTARIO'!V117</f>
        <v>CANDELARIA-0701-SUR</v>
      </c>
      <c r="X2" s="14" t="str">
        <f>'N TRIBUTARIO'!W117</f>
        <v>0701-071079-001-9</v>
      </c>
      <c r="Y2" s="14" t="str">
        <f>'N TRIBUTARIO'!X117</f>
        <v>CANDELARIA SUR</v>
      </c>
      <c r="Z2" s="14" t="str">
        <f>'N TRIBUTARIO'!Y117</f>
        <v>0701-071079-001-9 CANDELARIA SUR</v>
      </c>
      <c r="AA2" s="14" t="str">
        <f>'N TRIBUTARIO'!Z117</f>
        <v>0701 CANDELARIA-SUR</v>
      </c>
      <c r="AB2" s="14">
        <f>'N TRIBUTARIO'!AA117</f>
        <v>0</v>
      </c>
      <c r="AC2" s="14">
        <f>'N TRIBUTARIO'!AB117</f>
        <v>0</v>
      </c>
      <c r="AD2" s="14">
        <f>'N TRIBUTARIO'!AC117</f>
        <v>0</v>
      </c>
    </row>
    <row r="3" spans="1:30" ht="19" customHeight="1" x14ac:dyDescent="0.4">
      <c r="A3" s="14" t="str">
        <f>'N TRIBUTARIO'!A118</f>
        <v>S1</v>
      </c>
      <c r="B3" s="14" t="str">
        <f>'N TRIBUTARIO'!B118</f>
        <v>01</v>
      </c>
      <c r="C3" s="14" t="str">
        <f>'N TRIBUTARIO'!C118</f>
        <v>06</v>
      </c>
      <c r="D3" s="14" t="str">
        <f>'N TRIBUTARIO'!D118</f>
        <v>11</v>
      </c>
      <c r="E3" s="14" t="str">
        <f>'N TRIBUTARIO'!E118</f>
        <v>001</v>
      </c>
      <c r="F3" s="14">
        <f>'N TRIBUTARIO'!F118</f>
        <v>1</v>
      </c>
      <c r="G3" s="14">
        <f>'N TRIBUTARIO'!G118</f>
        <v>117</v>
      </c>
      <c r="H3" s="14" t="str">
        <f>'N TRIBUTARIO'!H118</f>
        <v>0702</v>
      </c>
      <c r="I3" s="14">
        <f>'N TRIBUTARIO'!I118</f>
        <v>7</v>
      </c>
      <c r="J3" s="14" t="s">
        <v>725</v>
      </c>
      <c r="K3" s="14" t="str">
        <f>'N TRIBUTARIO'!J118</f>
        <v>COJUTEPEQUE</v>
      </c>
      <c r="L3" s="14" t="str">
        <f>'N TRIBUTARIO'!K118</f>
        <v>SUR</v>
      </c>
      <c r="M3" s="14" t="str">
        <f>'N TRIBUTARIO'!L118</f>
        <v>CUSCATLAN</v>
      </c>
      <c r="N3" s="14">
        <f>'N TRIBUTARIO'!M118</f>
        <v>0</v>
      </c>
      <c r="O3" s="14">
        <f>'N TRIBUTARIO'!N118</f>
        <v>0</v>
      </c>
      <c r="P3" s="14">
        <f>'N TRIBUTARIO'!O118</f>
        <v>0</v>
      </c>
      <c r="Q3" s="14">
        <f>'N TRIBUTARIO'!P118</f>
        <v>0</v>
      </c>
      <c r="R3" s="14">
        <f>'N TRIBUTARIO'!Q118</f>
        <v>0</v>
      </c>
      <c r="S3" s="14">
        <f>'N TRIBUTARIO'!R118</f>
        <v>1</v>
      </c>
      <c r="T3" s="14">
        <f>'N TRIBUTARIO'!S118</f>
        <v>0</v>
      </c>
      <c r="U3" s="14" t="str">
        <f>'N TRIBUTARIO'!T118</f>
        <v>-</v>
      </c>
      <c r="V3" s="14" t="str">
        <f>'N TRIBUTARIO'!U118</f>
        <v xml:space="preserve"> </v>
      </c>
      <c r="W3" s="14" t="str">
        <f>'N TRIBUTARIO'!V118</f>
        <v>COJUTEPEQUE-0702-SUR</v>
      </c>
      <c r="X3" s="14" t="str">
        <f>'N TRIBUTARIO'!W118</f>
        <v>0702-010611-001-1</v>
      </c>
      <c r="Y3" s="14" t="str">
        <f>'N TRIBUTARIO'!X118</f>
        <v>COJUTEPEQUE SUR</v>
      </c>
      <c r="Z3" s="14" t="str">
        <f>'N TRIBUTARIO'!Y118</f>
        <v>0702-010611-001-1 COJUTEPEQUE SUR</v>
      </c>
      <c r="AA3" s="14" t="str">
        <f>'N TRIBUTARIO'!Z118</f>
        <v>0702 COJUTEPEQUE-SUR</v>
      </c>
      <c r="AB3" s="14">
        <f>'N TRIBUTARIO'!AA118</f>
        <v>257.02</v>
      </c>
      <c r="AC3" s="14">
        <f>'N TRIBUTARIO'!AB118</f>
        <v>145713</v>
      </c>
      <c r="AD3" s="14">
        <f>'N TRIBUTARIO'!AC118</f>
        <v>566.92999999999995</v>
      </c>
    </row>
    <row r="4" spans="1:30" ht="19" customHeight="1" x14ac:dyDescent="0.4">
      <c r="A4" s="14">
        <f>'N TRIBUTARIO'!A119</f>
        <v>0</v>
      </c>
      <c r="B4" s="14" t="str">
        <f>'N TRIBUTARIO'!B119</f>
        <v>14</v>
      </c>
      <c r="C4" s="14" t="str">
        <f>'N TRIBUTARIO'!C119</f>
        <v>10</v>
      </c>
      <c r="D4" s="14" t="str">
        <f>'N TRIBUTARIO'!D119</f>
        <v>79</v>
      </c>
      <c r="E4" s="14" t="str">
        <f>'N TRIBUTARIO'!E119</f>
        <v>001</v>
      </c>
      <c r="F4" s="14">
        <f>'N TRIBUTARIO'!F119</f>
        <v>0</v>
      </c>
      <c r="G4" s="14">
        <f>'N TRIBUTARIO'!G119</f>
        <v>118</v>
      </c>
      <c r="H4" s="14" t="str">
        <f>'N TRIBUTARIO'!H119</f>
        <v>0703</v>
      </c>
      <c r="I4" s="14">
        <f>'N TRIBUTARIO'!I119</f>
        <v>0</v>
      </c>
      <c r="J4" s="14" t="s">
        <v>725</v>
      </c>
      <c r="K4" s="14" t="str">
        <f>'N TRIBUTARIO'!J119</f>
        <v>EL CARMEN</v>
      </c>
      <c r="L4" s="14" t="str">
        <f>'N TRIBUTARIO'!K119</f>
        <v>SUR</v>
      </c>
      <c r="M4" s="14" t="str">
        <f>'N TRIBUTARIO'!L119</f>
        <v>CUSCATLAN</v>
      </c>
      <c r="N4" s="14">
        <f>'N TRIBUTARIO'!M119</f>
        <v>0</v>
      </c>
      <c r="O4" s="14">
        <f>'N TRIBUTARIO'!N119</f>
        <v>0</v>
      </c>
      <c r="P4" s="14">
        <f>'N TRIBUTARIO'!O119</f>
        <v>0</v>
      </c>
      <c r="Q4" s="14">
        <f>'N TRIBUTARIO'!P119</f>
        <v>0</v>
      </c>
      <c r="R4" s="14">
        <f>'N TRIBUTARIO'!Q119</f>
        <v>0</v>
      </c>
      <c r="S4" s="14">
        <f>'N TRIBUTARIO'!R119</f>
        <v>1</v>
      </c>
      <c r="T4" s="14">
        <f>'N TRIBUTARIO'!S119</f>
        <v>0</v>
      </c>
      <c r="U4" s="14" t="str">
        <f>'N TRIBUTARIO'!T119</f>
        <v>-</v>
      </c>
      <c r="V4" s="14" t="str">
        <f>'N TRIBUTARIO'!U119</f>
        <v xml:space="preserve"> </v>
      </c>
      <c r="W4" s="14" t="str">
        <f>'N TRIBUTARIO'!V119</f>
        <v>EL CARMEN-0703-SUR</v>
      </c>
      <c r="X4" s="14" t="str">
        <f>'N TRIBUTARIO'!W119</f>
        <v>0703-141079-001-0</v>
      </c>
      <c r="Y4" s="14" t="str">
        <f>'N TRIBUTARIO'!X119</f>
        <v>EL CARMEN SUR</v>
      </c>
      <c r="Z4" s="14" t="str">
        <f>'N TRIBUTARIO'!Y119</f>
        <v>0703-141079-001-0 EL CARMEN SUR</v>
      </c>
      <c r="AA4" s="14" t="str">
        <f>'N TRIBUTARIO'!Z119</f>
        <v>0703 EL CARMEN-SUR</v>
      </c>
      <c r="AB4" s="14">
        <f>'N TRIBUTARIO'!AA119</f>
        <v>0</v>
      </c>
      <c r="AC4" s="14">
        <f>'N TRIBUTARIO'!AB119</f>
        <v>0</v>
      </c>
      <c r="AD4" s="14">
        <f>'N TRIBUTARIO'!AC119</f>
        <v>0</v>
      </c>
    </row>
    <row r="5" spans="1:30" ht="19" customHeight="1" x14ac:dyDescent="0.4">
      <c r="A5" s="14">
        <f>'N TRIBUTARIO'!A120</f>
        <v>0</v>
      </c>
      <c r="B5" s="14" t="str">
        <f>'N TRIBUTARIO'!B120</f>
        <v>07</v>
      </c>
      <c r="C5" s="14" t="str">
        <f>'N TRIBUTARIO'!C120</f>
        <v>10</v>
      </c>
      <c r="D5" s="14" t="str">
        <f>'N TRIBUTARIO'!D120</f>
        <v>79</v>
      </c>
      <c r="E5" s="14" t="str">
        <f>'N TRIBUTARIO'!E120</f>
        <v>001</v>
      </c>
      <c r="F5" s="14">
        <f>'N TRIBUTARIO'!F120</f>
        <v>9</v>
      </c>
      <c r="G5" s="14">
        <f>'N TRIBUTARIO'!G120</f>
        <v>119</v>
      </c>
      <c r="H5" s="14" t="str">
        <f>'N TRIBUTARIO'!H120</f>
        <v>0704</v>
      </c>
      <c r="I5" s="14">
        <f>'N TRIBUTARIO'!I120</f>
        <v>0</v>
      </c>
      <c r="J5" s="14" t="s">
        <v>725</v>
      </c>
      <c r="K5" s="14" t="str">
        <f>'N TRIBUTARIO'!J120</f>
        <v>EL ROSARIO CUSCATLAN</v>
      </c>
      <c r="L5" s="14" t="str">
        <f>'N TRIBUTARIO'!K120</f>
        <v>SUR</v>
      </c>
      <c r="M5" s="14" t="str">
        <f>'N TRIBUTARIO'!L120</f>
        <v>CUSCATLAN</v>
      </c>
      <c r="N5" s="14">
        <f>'N TRIBUTARIO'!M120</f>
        <v>0</v>
      </c>
      <c r="O5" s="14">
        <f>'N TRIBUTARIO'!N120</f>
        <v>0</v>
      </c>
      <c r="P5" s="14">
        <f>'N TRIBUTARIO'!O120</f>
        <v>0</v>
      </c>
      <c r="Q5" s="14">
        <f>'N TRIBUTARIO'!P120</f>
        <v>0</v>
      </c>
      <c r="R5" s="14">
        <f>'N TRIBUTARIO'!Q120</f>
        <v>0</v>
      </c>
      <c r="S5" s="14">
        <f>'N TRIBUTARIO'!R120</f>
        <v>1</v>
      </c>
      <c r="T5" s="14">
        <f>'N TRIBUTARIO'!S120</f>
        <v>0</v>
      </c>
      <c r="U5" s="14" t="str">
        <f>'N TRIBUTARIO'!T120</f>
        <v>-</v>
      </c>
      <c r="V5" s="14" t="str">
        <f>'N TRIBUTARIO'!U120</f>
        <v xml:space="preserve"> </v>
      </c>
      <c r="W5" s="14" t="str">
        <f>'N TRIBUTARIO'!V120</f>
        <v>EL ROSARIO CUSCATLAN-0704-SUR</v>
      </c>
      <c r="X5" s="14" t="str">
        <f>'N TRIBUTARIO'!W120</f>
        <v>0704-071079-001-9</v>
      </c>
      <c r="Y5" s="14" t="str">
        <f>'N TRIBUTARIO'!X120</f>
        <v>EL ROSARIO CUSCATLAN SUR</v>
      </c>
      <c r="Z5" s="14" t="str">
        <f>'N TRIBUTARIO'!Y120</f>
        <v>0704-071079-001-9 EL ROSARIO CUSCATLAN SUR</v>
      </c>
      <c r="AA5" s="14" t="str">
        <f>'N TRIBUTARIO'!Z120</f>
        <v>0704 EL ROSARIO CUSCATLAN-SUR</v>
      </c>
      <c r="AB5" s="14">
        <f>'N TRIBUTARIO'!AA120</f>
        <v>0</v>
      </c>
      <c r="AC5" s="14">
        <f>'N TRIBUTARIO'!AB120</f>
        <v>0</v>
      </c>
      <c r="AD5" s="14">
        <f>'N TRIBUTARIO'!AC120</f>
        <v>0</v>
      </c>
    </row>
    <row r="6" spans="1:30" ht="19" customHeight="1" x14ac:dyDescent="0.4">
      <c r="A6" s="14">
        <f>'N TRIBUTARIO'!A121</f>
        <v>0</v>
      </c>
      <c r="B6" s="14" t="str">
        <f>'N TRIBUTARIO'!B121</f>
        <v>07</v>
      </c>
      <c r="C6" s="14" t="str">
        <f>'N TRIBUTARIO'!C121</f>
        <v>10</v>
      </c>
      <c r="D6" s="14" t="str">
        <f>'N TRIBUTARIO'!D121</f>
        <v>79</v>
      </c>
      <c r="E6" s="14" t="str">
        <f>'N TRIBUTARIO'!E121</f>
        <v>001</v>
      </c>
      <c r="F6" s="14">
        <f>'N TRIBUTARIO'!F121</f>
        <v>9</v>
      </c>
      <c r="G6" s="14">
        <f>'N TRIBUTARIO'!G121</f>
        <v>120</v>
      </c>
      <c r="H6" s="14" t="str">
        <f>'N TRIBUTARIO'!H121</f>
        <v>0705</v>
      </c>
      <c r="I6" s="14">
        <f>'N TRIBUTARIO'!I121</f>
        <v>0</v>
      </c>
      <c r="J6" s="14" t="s">
        <v>725</v>
      </c>
      <c r="K6" s="14" t="str">
        <f>'N TRIBUTARIO'!J121</f>
        <v>MONTE SAN JUAN</v>
      </c>
      <c r="L6" s="14" t="str">
        <f>'N TRIBUTARIO'!K121</f>
        <v>SUR</v>
      </c>
      <c r="M6" s="14" t="str">
        <f>'N TRIBUTARIO'!L121</f>
        <v>CUSCATLAN</v>
      </c>
      <c r="N6" s="14">
        <f>'N TRIBUTARIO'!M121</f>
        <v>0</v>
      </c>
      <c r="O6" s="14">
        <f>'N TRIBUTARIO'!N121</f>
        <v>0</v>
      </c>
      <c r="P6" s="14">
        <f>'N TRIBUTARIO'!O121</f>
        <v>0</v>
      </c>
      <c r="Q6" s="14">
        <f>'N TRIBUTARIO'!P121</f>
        <v>0</v>
      </c>
      <c r="R6" s="14">
        <f>'N TRIBUTARIO'!Q121</f>
        <v>0</v>
      </c>
      <c r="S6" s="14">
        <f>'N TRIBUTARIO'!R121</f>
        <v>1</v>
      </c>
      <c r="T6" s="14">
        <f>'N TRIBUTARIO'!S121</f>
        <v>0</v>
      </c>
      <c r="U6" s="14" t="str">
        <f>'N TRIBUTARIO'!T121</f>
        <v>-</v>
      </c>
      <c r="V6" s="14" t="str">
        <f>'N TRIBUTARIO'!U121</f>
        <v xml:space="preserve"> </v>
      </c>
      <c r="W6" s="14" t="str">
        <f>'N TRIBUTARIO'!V121</f>
        <v>MONTE SAN JUAN-0705-SUR</v>
      </c>
      <c r="X6" s="14" t="str">
        <f>'N TRIBUTARIO'!W121</f>
        <v>0705-071079-001-9</v>
      </c>
      <c r="Y6" s="14" t="str">
        <f>'N TRIBUTARIO'!X121</f>
        <v>MONTE SAN JUAN SUR</v>
      </c>
      <c r="Z6" s="14" t="str">
        <f>'N TRIBUTARIO'!Y121</f>
        <v>0705-071079-001-9 MONTE SAN JUAN SUR</v>
      </c>
      <c r="AA6" s="14" t="str">
        <f>'N TRIBUTARIO'!Z121</f>
        <v>0705 MONTE SAN JUAN-SUR</v>
      </c>
      <c r="AB6" s="14">
        <f>'N TRIBUTARIO'!AA121</f>
        <v>0</v>
      </c>
      <c r="AC6" s="14">
        <f>'N TRIBUTARIO'!AB121</f>
        <v>0</v>
      </c>
      <c r="AD6" s="14">
        <f>'N TRIBUTARIO'!AC121</f>
        <v>0</v>
      </c>
    </row>
    <row r="7" spans="1:30" ht="19" customHeight="1" x14ac:dyDescent="0.4">
      <c r="A7" s="14">
        <f>'N TRIBUTARIO'!A122</f>
        <v>0</v>
      </c>
      <c r="B7" s="14" t="str">
        <f>'N TRIBUTARIO'!B122</f>
        <v>07</v>
      </c>
      <c r="C7" s="14" t="str">
        <f>'N TRIBUTARIO'!C122</f>
        <v>10</v>
      </c>
      <c r="D7" s="14" t="str">
        <f>'N TRIBUTARIO'!D122</f>
        <v>79</v>
      </c>
      <c r="E7" s="14" t="str">
        <f>'N TRIBUTARIO'!E122</f>
        <v>001</v>
      </c>
      <c r="F7" s="14">
        <f>'N TRIBUTARIO'!F122</f>
        <v>9</v>
      </c>
      <c r="G7" s="14">
        <f>'N TRIBUTARIO'!G122</f>
        <v>121</v>
      </c>
      <c r="H7" s="14" t="str">
        <f>'N TRIBUTARIO'!H122</f>
        <v>0706</v>
      </c>
      <c r="I7" s="14">
        <f>'N TRIBUTARIO'!I122</f>
        <v>0</v>
      </c>
      <c r="J7" s="14" t="s">
        <v>725</v>
      </c>
      <c r="K7" s="14" t="str">
        <f>'N TRIBUTARIO'!J122</f>
        <v>ORATORIO DE CONCEPCION</v>
      </c>
      <c r="L7" s="14" t="str">
        <f>'N TRIBUTARIO'!K122</f>
        <v>NORTE</v>
      </c>
      <c r="M7" s="14" t="str">
        <f>'N TRIBUTARIO'!L122</f>
        <v>CUSCATLAN</v>
      </c>
      <c r="N7" s="14">
        <f>'N TRIBUTARIO'!M122</f>
        <v>0</v>
      </c>
      <c r="O7" s="14">
        <f>'N TRIBUTARIO'!N122</f>
        <v>0</v>
      </c>
      <c r="P7" s="14">
        <f>'N TRIBUTARIO'!O122</f>
        <v>0</v>
      </c>
      <c r="Q7" s="14">
        <f>'N TRIBUTARIO'!P122</f>
        <v>1</v>
      </c>
      <c r="R7" s="14">
        <f>'N TRIBUTARIO'!Q122</f>
        <v>0</v>
      </c>
      <c r="S7" s="14">
        <f>'N TRIBUTARIO'!R122</f>
        <v>0</v>
      </c>
      <c r="T7" s="14">
        <f>'N TRIBUTARIO'!S122</f>
        <v>0</v>
      </c>
      <c r="U7" s="14" t="str">
        <f>'N TRIBUTARIO'!T122</f>
        <v>-</v>
      </c>
      <c r="V7" s="14" t="str">
        <f>'N TRIBUTARIO'!U122</f>
        <v xml:space="preserve"> </v>
      </c>
      <c r="W7" s="14" t="str">
        <f>'N TRIBUTARIO'!V122</f>
        <v>ORATORIO DE CONCEPCION-0706-NORTE</v>
      </c>
      <c r="X7" s="14" t="str">
        <f>'N TRIBUTARIO'!W122</f>
        <v>0706-071079-001-9</v>
      </c>
      <c r="Y7" s="14" t="str">
        <f>'N TRIBUTARIO'!X122</f>
        <v>ORATORIO DE CONCEPCION NORTE</v>
      </c>
      <c r="Z7" s="14" t="str">
        <f>'N TRIBUTARIO'!Y122</f>
        <v>0706-071079-001-9 ORATORIO DE CONCEPCION NORTE</v>
      </c>
      <c r="AA7" s="14" t="str">
        <f>'N TRIBUTARIO'!Z122</f>
        <v>0706 ORATORIO DE CONCEPCION-NORTE</v>
      </c>
      <c r="AB7" s="14">
        <f>'N TRIBUTARIO'!AA122</f>
        <v>0</v>
      </c>
      <c r="AC7" s="14">
        <f>'N TRIBUTARIO'!AB122</f>
        <v>0</v>
      </c>
      <c r="AD7" s="14">
        <f>'N TRIBUTARIO'!AC122</f>
        <v>0</v>
      </c>
    </row>
    <row r="8" spans="1:30" ht="19" customHeight="1" x14ac:dyDescent="0.4">
      <c r="A8" s="14">
        <f>'N TRIBUTARIO'!A123</f>
        <v>0</v>
      </c>
      <c r="B8" s="14" t="str">
        <f>'N TRIBUTARIO'!B123</f>
        <v>07</v>
      </c>
      <c r="C8" s="14" t="str">
        <f>'N TRIBUTARIO'!C123</f>
        <v>10</v>
      </c>
      <c r="D8" s="14" t="str">
        <f>'N TRIBUTARIO'!D123</f>
        <v>79</v>
      </c>
      <c r="E8" s="14" t="str">
        <f>'N TRIBUTARIO'!E123</f>
        <v>001</v>
      </c>
      <c r="F8" s="14">
        <f>'N TRIBUTARIO'!F123</f>
        <v>9</v>
      </c>
      <c r="G8" s="14">
        <f>'N TRIBUTARIO'!G123</f>
        <v>122</v>
      </c>
      <c r="H8" s="14" t="str">
        <f>'N TRIBUTARIO'!H123</f>
        <v>0707</v>
      </c>
      <c r="I8" s="14">
        <f>'N TRIBUTARIO'!I123</f>
        <v>0</v>
      </c>
      <c r="J8" s="14" t="s">
        <v>725</v>
      </c>
      <c r="K8" s="14" t="str">
        <f>'N TRIBUTARIO'!J123</f>
        <v>SAN BARTOLOME PERULAPIA</v>
      </c>
      <c r="L8" s="14" t="str">
        <f>'N TRIBUTARIO'!K123</f>
        <v>NORTE</v>
      </c>
      <c r="M8" s="14" t="str">
        <f>'N TRIBUTARIO'!L123</f>
        <v>CUSCATLAN</v>
      </c>
      <c r="N8" s="14">
        <f>'N TRIBUTARIO'!M123</f>
        <v>0</v>
      </c>
      <c r="O8" s="14">
        <f>'N TRIBUTARIO'!N123</f>
        <v>0</v>
      </c>
      <c r="P8" s="14">
        <f>'N TRIBUTARIO'!O123</f>
        <v>0</v>
      </c>
      <c r="Q8" s="14">
        <f>'N TRIBUTARIO'!P123</f>
        <v>1</v>
      </c>
      <c r="R8" s="14">
        <f>'N TRIBUTARIO'!Q123</f>
        <v>0</v>
      </c>
      <c r="S8" s="14">
        <f>'N TRIBUTARIO'!R123</f>
        <v>0</v>
      </c>
      <c r="T8" s="14">
        <f>'N TRIBUTARIO'!S123</f>
        <v>0</v>
      </c>
      <c r="U8" s="14" t="str">
        <f>'N TRIBUTARIO'!T123</f>
        <v>-</v>
      </c>
      <c r="V8" s="14" t="str">
        <f>'N TRIBUTARIO'!U123</f>
        <v xml:space="preserve"> </v>
      </c>
      <c r="W8" s="14" t="str">
        <f>'N TRIBUTARIO'!V123</f>
        <v>SAN BARTOLOME PERULAPIA-0707-NORTE</v>
      </c>
      <c r="X8" s="14" t="str">
        <f>'N TRIBUTARIO'!W123</f>
        <v>0707-071079-001-9</v>
      </c>
      <c r="Y8" s="14" t="str">
        <f>'N TRIBUTARIO'!X123</f>
        <v>SAN BARTOLOME PERULAPIA NORTE</v>
      </c>
      <c r="Z8" s="14" t="str">
        <f>'N TRIBUTARIO'!Y123</f>
        <v>0707-071079-001-9 SAN BARTOLOME PERULAPIA NORTE</v>
      </c>
      <c r="AA8" s="14" t="str">
        <f>'N TRIBUTARIO'!Z123</f>
        <v>0707 SAN BARTOLOME PERULAPIA-NORTE</v>
      </c>
      <c r="AB8" s="14">
        <f>'N TRIBUTARIO'!AA123</f>
        <v>0</v>
      </c>
      <c r="AC8" s="14">
        <f>'N TRIBUTARIO'!AB123</f>
        <v>0</v>
      </c>
      <c r="AD8" s="14">
        <f>'N TRIBUTARIO'!AC123</f>
        <v>0</v>
      </c>
    </row>
    <row r="9" spans="1:30" ht="19" customHeight="1" x14ac:dyDescent="0.4">
      <c r="A9" s="14">
        <f>'N TRIBUTARIO'!A124</f>
        <v>0</v>
      </c>
      <c r="B9" s="14" t="str">
        <f>'N TRIBUTARIO'!B124</f>
        <v>07</v>
      </c>
      <c r="C9" s="14" t="str">
        <f>'N TRIBUTARIO'!C124</f>
        <v>10</v>
      </c>
      <c r="D9" s="14" t="str">
        <f>'N TRIBUTARIO'!D124</f>
        <v>79</v>
      </c>
      <c r="E9" s="14" t="str">
        <f>'N TRIBUTARIO'!E124</f>
        <v>001</v>
      </c>
      <c r="F9" s="14">
        <f>'N TRIBUTARIO'!F124</f>
        <v>9</v>
      </c>
      <c r="G9" s="14">
        <f>'N TRIBUTARIO'!G124</f>
        <v>123</v>
      </c>
      <c r="H9" s="14" t="str">
        <f>'N TRIBUTARIO'!H124</f>
        <v>0708</v>
      </c>
      <c r="I9" s="14">
        <f>'N TRIBUTARIO'!I124</f>
        <v>0</v>
      </c>
      <c r="J9" s="14" t="s">
        <v>725</v>
      </c>
      <c r="K9" s="14" t="str">
        <f>'N TRIBUTARIO'!J124</f>
        <v>SAN CRISTOBAL</v>
      </c>
      <c r="L9" s="14" t="str">
        <f>'N TRIBUTARIO'!K124</f>
        <v>SUR</v>
      </c>
      <c r="M9" s="14" t="str">
        <f>'N TRIBUTARIO'!L124</f>
        <v>CUSCATLAN</v>
      </c>
      <c r="N9" s="14">
        <f>'N TRIBUTARIO'!M124</f>
        <v>0</v>
      </c>
      <c r="O9" s="14">
        <f>'N TRIBUTARIO'!N124</f>
        <v>0</v>
      </c>
      <c r="P9" s="14">
        <f>'N TRIBUTARIO'!O124</f>
        <v>0</v>
      </c>
      <c r="Q9" s="14">
        <f>'N TRIBUTARIO'!P124</f>
        <v>0</v>
      </c>
      <c r="R9" s="14">
        <f>'N TRIBUTARIO'!Q124</f>
        <v>0</v>
      </c>
      <c r="S9" s="14">
        <f>'N TRIBUTARIO'!R124</f>
        <v>1</v>
      </c>
      <c r="T9" s="14">
        <f>'N TRIBUTARIO'!S124</f>
        <v>0</v>
      </c>
      <c r="U9" s="14" t="str">
        <f>'N TRIBUTARIO'!T124</f>
        <v>-</v>
      </c>
      <c r="V9" s="14" t="str">
        <f>'N TRIBUTARIO'!U124</f>
        <v xml:space="preserve"> </v>
      </c>
      <c r="W9" s="14" t="str">
        <f>'N TRIBUTARIO'!V124</f>
        <v>SAN CRISTOBAL-0708-SUR</v>
      </c>
      <c r="X9" s="14" t="str">
        <f>'N TRIBUTARIO'!W124</f>
        <v>0708-071079-001-9</v>
      </c>
      <c r="Y9" s="14" t="str">
        <f>'N TRIBUTARIO'!X124</f>
        <v>SAN CRISTOBAL SUR</v>
      </c>
      <c r="Z9" s="14" t="str">
        <f>'N TRIBUTARIO'!Y124</f>
        <v>0708-071079-001-9 SAN CRISTOBAL SUR</v>
      </c>
      <c r="AA9" s="14" t="str">
        <f>'N TRIBUTARIO'!Z124</f>
        <v>0708 SAN CRISTOBAL-SUR</v>
      </c>
      <c r="AB9" s="14">
        <f>'N TRIBUTARIO'!AA124</f>
        <v>0</v>
      </c>
      <c r="AC9" s="14">
        <f>'N TRIBUTARIO'!AB124</f>
        <v>0</v>
      </c>
      <c r="AD9" s="14">
        <f>'N TRIBUTARIO'!AC124</f>
        <v>0</v>
      </c>
    </row>
    <row r="10" spans="1:30" ht="19" customHeight="1" x14ac:dyDescent="0.4">
      <c r="A10" s="14">
        <f>'N TRIBUTARIO'!A125</f>
        <v>0</v>
      </c>
      <c r="B10" s="14" t="str">
        <f>'N TRIBUTARIO'!B125</f>
        <v>07</v>
      </c>
      <c r="C10" s="14" t="str">
        <f>'N TRIBUTARIO'!C125</f>
        <v>10</v>
      </c>
      <c r="D10" s="14" t="str">
        <f>'N TRIBUTARIO'!D125</f>
        <v>79</v>
      </c>
      <c r="E10" s="14" t="str">
        <f>'N TRIBUTARIO'!E125</f>
        <v>001</v>
      </c>
      <c r="F10" s="14">
        <f>'N TRIBUTARIO'!F125</f>
        <v>9</v>
      </c>
      <c r="G10" s="14">
        <f>'N TRIBUTARIO'!G125</f>
        <v>124</v>
      </c>
      <c r="H10" s="14" t="str">
        <f>'N TRIBUTARIO'!H125</f>
        <v>0709</v>
      </c>
      <c r="I10" s="14">
        <f>'N TRIBUTARIO'!I125</f>
        <v>0</v>
      </c>
      <c r="J10" s="14" t="s">
        <v>725</v>
      </c>
      <c r="K10" s="14" t="str">
        <f>'N TRIBUTARIO'!J125</f>
        <v>SAN JOSE GUAYABAL</v>
      </c>
      <c r="L10" s="14" t="str">
        <f>'N TRIBUTARIO'!K125</f>
        <v>NORTE</v>
      </c>
      <c r="M10" s="14" t="str">
        <f>'N TRIBUTARIO'!L125</f>
        <v>CUSCATLAN</v>
      </c>
      <c r="N10" s="14">
        <f>'N TRIBUTARIO'!M125</f>
        <v>0</v>
      </c>
      <c r="O10" s="14">
        <f>'N TRIBUTARIO'!N125</f>
        <v>0</v>
      </c>
      <c r="P10" s="14">
        <f>'N TRIBUTARIO'!O125</f>
        <v>0</v>
      </c>
      <c r="Q10" s="14">
        <f>'N TRIBUTARIO'!P125</f>
        <v>1</v>
      </c>
      <c r="R10" s="14">
        <f>'N TRIBUTARIO'!Q125</f>
        <v>0</v>
      </c>
      <c r="S10" s="14">
        <f>'N TRIBUTARIO'!R125</f>
        <v>0</v>
      </c>
      <c r="T10" s="14">
        <f>'N TRIBUTARIO'!S125</f>
        <v>0</v>
      </c>
      <c r="U10" s="14" t="str">
        <f>'N TRIBUTARIO'!T125</f>
        <v>-</v>
      </c>
      <c r="V10" s="14" t="str">
        <f>'N TRIBUTARIO'!U125</f>
        <v xml:space="preserve"> </v>
      </c>
      <c r="W10" s="14" t="str">
        <f>'N TRIBUTARIO'!V125</f>
        <v>SAN JOSE GUAYABAL-0709-NORTE</v>
      </c>
      <c r="X10" s="14" t="str">
        <f>'N TRIBUTARIO'!W125</f>
        <v>0709-071079-001-9</v>
      </c>
      <c r="Y10" s="14" t="str">
        <f>'N TRIBUTARIO'!X125</f>
        <v>SAN JOSE GUAYABAL NORTE</v>
      </c>
      <c r="Z10" s="14" t="str">
        <f>'N TRIBUTARIO'!Y125</f>
        <v>0709-071079-001-9 SAN JOSE GUAYABAL NORTE</v>
      </c>
      <c r="AA10" s="14" t="str">
        <f>'N TRIBUTARIO'!Z125</f>
        <v>0709 SAN JOSE GUAYABAL-NORTE</v>
      </c>
      <c r="AB10" s="14">
        <f>'N TRIBUTARIO'!AA125</f>
        <v>0</v>
      </c>
      <c r="AC10" s="14">
        <f>'N TRIBUTARIO'!AB125</f>
        <v>0</v>
      </c>
      <c r="AD10" s="14">
        <f>'N TRIBUTARIO'!AC125</f>
        <v>0</v>
      </c>
    </row>
    <row r="11" spans="1:30" ht="19" customHeight="1" x14ac:dyDescent="0.4">
      <c r="A11" s="14">
        <f>'N TRIBUTARIO'!A126</f>
        <v>0</v>
      </c>
      <c r="B11" s="14" t="str">
        <f>'N TRIBUTARIO'!B126</f>
        <v>07</v>
      </c>
      <c r="C11" s="14" t="str">
        <f>'N TRIBUTARIO'!C126</f>
        <v>10</v>
      </c>
      <c r="D11" s="14" t="str">
        <f>'N TRIBUTARIO'!D126</f>
        <v>79</v>
      </c>
      <c r="E11" s="14" t="str">
        <f>'N TRIBUTARIO'!E126</f>
        <v>001</v>
      </c>
      <c r="F11" s="14">
        <f>'N TRIBUTARIO'!F126</f>
        <v>0</v>
      </c>
      <c r="G11" s="14">
        <f>'N TRIBUTARIO'!G126</f>
        <v>125</v>
      </c>
      <c r="H11" s="14" t="str">
        <f>'N TRIBUTARIO'!H126</f>
        <v>0710</v>
      </c>
      <c r="I11" s="14">
        <f>'N TRIBUTARIO'!I126</f>
        <v>0</v>
      </c>
      <c r="J11" s="14" t="s">
        <v>725</v>
      </c>
      <c r="K11" s="14" t="str">
        <f>'N TRIBUTARIO'!J126</f>
        <v>SAN PEDRO PERULAPAN</v>
      </c>
      <c r="L11" s="14" t="str">
        <f>'N TRIBUTARIO'!K126</f>
        <v>NORTE</v>
      </c>
      <c r="M11" s="14" t="str">
        <f>'N TRIBUTARIO'!L126</f>
        <v>CUSCATLAN</v>
      </c>
      <c r="N11" s="14">
        <f>'N TRIBUTARIO'!M126</f>
        <v>0</v>
      </c>
      <c r="O11" s="14">
        <f>'N TRIBUTARIO'!N126</f>
        <v>0</v>
      </c>
      <c r="P11" s="14">
        <f>'N TRIBUTARIO'!O126</f>
        <v>0</v>
      </c>
      <c r="Q11" s="14">
        <f>'N TRIBUTARIO'!P126</f>
        <v>1</v>
      </c>
      <c r="R11" s="14">
        <f>'N TRIBUTARIO'!Q126</f>
        <v>0</v>
      </c>
      <c r="S11" s="14">
        <f>'N TRIBUTARIO'!R126</f>
        <v>0</v>
      </c>
      <c r="T11" s="14">
        <f>'N TRIBUTARIO'!S126</f>
        <v>0</v>
      </c>
      <c r="U11" s="14" t="str">
        <f>'N TRIBUTARIO'!T126</f>
        <v>-</v>
      </c>
      <c r="V11" s="14" t="str">
        <f>'N TRIBUTARIO'!U126</f>
        <v xml:space="preserve"> </v>
      </c>
      <c r="W11" s="14" t="str">
        <f>'N TRIBUTARIO'!V126</f>
        <v>SAN PEDRO PERULAPAN-0710-NORTE</v>
      </c>
      <c r="X11" s="14" t="str">
        <f>'N TRIBUTARIO'!W126</f>
        <v>0710-071079-001-0</v>
      </c>
      <c r="Y11" s="14" t="str">
        <f>'N TRIBUTARIO'!X126</f>
        <v>SAN PEDRO PERULAPAN NORTE</v>
      </c>
      <c r="Z11" s="14" t="str">
        <f>'N TRIBUTARIO'!Y126</f>
        <v>0710-071079-001-0 SAN PEDRO PERULAPAN NORTE</v>
      </c>
      <c r="AA11" s="14" t="str">
        <f>'N TRIBUTARIO'!Z126</f>
        <v>0710 SAN PEDRO PERULAPAN-NORTE</v>
      </c>
      <c r="AB11" s="14">
        <f>'N TRIBUTARIO'!AA126</f>
        <v>0</v>
      </c>
      <c r="AC11" s="14">
        <f>'N TRIBUTARIO'!AB126</f>
        <v>0</v>
      </c>
      <c r="AD11" s="14">
        <f>'N TRIBUTARIO'!AC126</f>
        <v>0</v>
      </c>
    </row>
    <row r="12" spans="1:30" ht="19" customHeight="1" x14ac:dyDescent="0.4">
      <c r="A12" s="14">
        <f>'N TRIBUTARIO'!A127</f>
        <v>0</v>
      </c>
      <c r="B12" s="14" t="str">
        <f>'N TRIBUTARIO'!B127</f>
        <v>07</v>
      </c>
      <c r="C12" s="14" t="str">
        <f>'N TRIBUTARIO'!C127</f>
        <v>10</v>
      </c>
      <c r="D12" s="14" t="str">
        <f>'N TRIBUTARIO'!D127</f>
        <v>79</v>
      </c>
      <c r="E12" s="14" t="str">
        <f>'N TRIBUTARIO'!E127</f>
        <v>001</v>
      </c>
      <c r="F12" s="14">
        <f>'N TRIBUTARIO'!F127</f>
        <v>0</v>
      </c>
      <c r="G12" s="14">
        <f>'N TRIBUTARIO'!G127</f>
        <v>126</v>
      </c>
      <c r="H12" s="14" t="str">
        <f>'N TRIBUTARIO'!H127</f>
        <v>0711</v>
      </c>
      <c r="I12" s="14">
        <f>'N TRIBUTARIO'!I127</f>
        <v>0</v>
      </c>
      <c r="J12" s="14" t="s">
        <v>725</v>
      </c>
      <c r="K12" s="14" t="str">
        <f>'N TRIBUTARIO'!J127</f>
        <v>SAN RAFAEL CEDROS</v>
      </c>
      <c r="L12" s="14" t="str">
        <f>'N TRIBUTARIO'!K127</f>
        <v>SUR</v>
      </c>
      <c r="M12" s="14" t="str">
        <f>'N TRIBUTARIO'!L127</f>
        <v>CUSCATLAN</v>
      </c>
      <c r="N12" s="14">
        <f>'N TRIBUTARIO'!M127</f>
        <v>0</v>
      </c>
      <c r="O12" s="14">
        <f>'N TRIBUTARIO'!N127</f>
        <v>0</v>
      </c>
      <c r="P12" s="14">
        <f>'N TRIBUTARIO'!O127</f>
        <v>0</v>
      </c>
      <c r="Q12" s="14">
        <f>'N TRIBUTARIO'!P127</f>
        <v>0</v>
      </c>
      <c r="R12" s="14">
        <f>'N TRIBUTARIO'!Q127</f>
        <v>0</v>
      </c>
      <c r="S12" s="14">
        <f>'N TRIBUTARIO'!R127</f>
        <v>1</v>
      </c>
      <c r="T12" s="14">
        <f>'N TRIBUTARIO'!S127</f>
        <v>0</v>
      </c>
      <c r="U12" s="14" t="str">
        <f>'N TRIBUTARIO'!T127</f>
        <v>-</v>
      </c>
      <c r="V12" s="14" t="str">
        <f>'N TRIBUTARIO'!U127</f>
        <v xml:space="preserve"> </v>
      </c>
      <c r="W12" s="14" t="str">
        <f>'N TRIBUTARIO'!V127</f>
        <v>SAN RAFAEL CEDROS-0711-SUR</v>
      </c>
      <c r="X12" s="14" t="str">
        <f>'N TRIBUTARIO'!W127</f>
        <v>0711-071079-001-0</v>
      </c>
      <c r="Y12" s="14" t="str">
        <f>'N TRIBUTARIO'!X127</f>
        <v>SAN RAFAEL CEDROS SUR</v>
      </c>
      <c r="Z12" s="14" t="str">
        <f>'N TRIBUTARIO'!Y127</f>
        <v>0711-071079-001-0 SAN RAFAEL CEDROS SUR</v>
      </c>
      <c r="AA12" s="14" t="str">
        <f>'N TRIBUTARIO'!Z127</f>
        <v>0711 SAN RAFAEL CEDROS-SUR</v>
      </c>
      <c r="AB12" s="14">
        <f>'N TRIBUTARIO'!AA127</f>
        <v>0</v>
      </c>
      <c r="AC12" s="14">
        <f>'N TRIBUTARIO'!AB127</f>
        <v>0</v>
      </c>
      <c r="AD12" s="14">
        <f>'N TRIBUTARIO'!AC127</f>
        <v>0</v>
      </c>
    </row>
    <row r="13" spans="1:30" ht="19" customHeight="1" x14ac:dyDescent="0.4">
      <c r="A13" s="14">
        <f>'N TRIBUTARIO'!A128</f>
        <v>0</v>
      </c>
      <c r="B13" s="14" t="str">
        <f>'N TRIBUTARIO'!B128</f>
        <v>07</v>
      </c>
      <c r="C13" s="14" t="str">
        <f>'N TRIBUTARIO'!C128</f>
        <v>10</v>
      </c>
      <c r="D13" s="14" t="str">
        <f>'N TRIBUTARIO'!D128</f>
        <v>79</v>
      </c>
      <c r="E13" s="14" t="str">
        <f>'N TRIBUTARIO'!E128</f>
        <v>001</v>
      </c>
      <c r="F13" s="14">
        <f>'N TRIBUTARIO'!F128</f>
        <v>0</v>
      </c>
      <c r="G13" s="14">
        <f>'N TRIBUTARIO'!G128</f>
        <v>127</v>
      </c>
      <c r="H13" s="14" t="str">
        <f>'N TRIBUTARIO'!H128</f>
        <v>0712</v>
      </c>
      <c r="I13" s="14">
        <f>'N TRIBUTARIO'!I128</f>
        <v>0</v>
      </c>
      <c r="J13" s="14" t="s">
        <v>725</v>
      </c>
      <c r="K13" s="14" t="str">
        <f>'N TRIBUTARIO'!J128</f>
        <v>SAN RAMON</v>
      </c>
      <c r="L13" s="14" t="str">
        <f>'N TRIBUTARIO'!K128</f>
        <v>SUR</v>
      </c>
      <c r="M13" s="14" t="str">
        <f>'N TRIBUTARIO'!L128</f>
        <v>CUSCATLAN</v>
      </c>
      <c r="N13" s="14">
        <f>'N TRIBUTARIO'!M128</f>
        <v>0</v>
      </c>
      <c r="O13" s="14">
        <f>'N TRIBUTARIO'!N128</f>
        <v>0</v>
      </c>
      <c r="P13" s="14">
        <f>'N TRIBUTARIO'!O128</f>
        <v>0</v>
      </c>
      <c r="Q13" s="14">
        <f>'N TRIBUTARIO'!P128</f>
        <v>0</v>
      </c>
      <c r="R13" s="14">
        <f>'N TRIBUTARIO'!Q128</f>
        <v>0</v>
      </c>
      <c r="S13" s="14">
        <f>'N TRIBUTARIO'!R128</f>
        <v>1</v>
      </c>
      <c r="T13" s="14">
        <f>'N TRIBUTARIO'!S128</f>
        <v>0</v>
      </c>
      <c r="U13" s="14" t="str">
        <f>'N TRIBUTARIO'!T128</f>
        <v>-</v>
      </c>
      <c r="V13" s="14" t="str">
        <f>'N TRIBUTARIO'!U128</f>
        <v xml:space="preserve"> </v>
      </c>
      <c r="W13" s="14" t="str">
        <f>'N TRIBUTARIO'!V128</f>
        <v>SAN RAMON-0712-SUR</v>
      </c>
      <c r="X13" s="14" t="str">
        <f>'N TRIBUTARIO'!W128</f>
        <v>0712-071079-001-0</v>
      </c>
      <c r="Y13" s="14" t="str">
        <f>'N TRIBUTARIO'!X128</f>
        <v>SAN RAMON SUR</v>
      </c>
      <c r="Z13" s="14" t="str">
        <f>'N TRIBUTARIO'!Y128</f>
        <v>0712-071079-001-0 SAN RAMON SUR</v>
      </c>
      <c r="AA13" s="14" t="str">
        <f>'N TRIBUTARIO'!Z128</f>
        <v>0712 SAN RAMON-SUR</v>
      </c>
      <c r="AB13" s="14">
        <f>'N TRIBUTARIO'!AA128</f>
        <v>0</v>
      </c>
      <c r="AC13" s="14">
        <f>'N TRIBUTARIO'!AB128</f>
        <v>0</v>
      </c>
      <c r="AD13" s="14">
        <f>'N TRIBUTARIO'!AC128</f>
        <v>0</v>
      </c>
    </row>
    <row r="14" spans="1:30" ht="19" customHeight="1" x14ac:dyDescent="0.4">
      <c r="A14" s="14">
        <f>'N TRIBUTARIO'!A129</f>
        <v>0</v>
      </c>
      <c r="B14" s="14" t="str">
        <f>'N TRIBUTARIO'!B129</f>
        <v>07</v>
      </c>
      <c r="C14" s="14" t="str">
        <f>'N TRIBUTARIO'!C129</f>
        <v>10</v>
      </c>
      <c r="D14" s="14" t="str">
        <f>'N TRIBUTARIO'!D129</f>
        <v>79</v>
      </c>
      <c r="E14" s="14" t="str">
        <f>'N TRIBUTARIO'!E129</f>
        <v>001</v>
      </c>
      <c r="F14" s="14">
        <f>'N TRIBUTARIO'!F129</f>
        <v>0</v>
      </c>
      <c r="G14" s="14">
        <f>'N TRIBUTARIO'!G129</f>
        <v>128</v>
      </c>
      <c r="H14" s="14" t="str">
        <f>'N TRIBUTARIO'!H129</f>
        <v>0713</v>
      </c>
      <c r="I14" s="14">
        <f>'N TRIBUTARIO'!I129</f>
        <v>0</v>
      </c>
      <c r="J14" s="14" t="s">
        <v>725</v>
      </c>
      <c r="K14" s="14" t="str">
        <f>'N TRIBUTARIO'!J129</f>
        <v>SANTA CRUZ ANALQUITO</v>
      </c>
      <c r="L14" s="14" t="str">
        <f>'N TRIBUTARIO'!K129</f>
        <v>NORTE</v>
      </c>
      <c r="M14" s="14" t="str">
        <f>'N TRIBUTARIO'!L129</f>
        <v>CUSCATLAN</v>
      </c>
      <c r="N14" s="14">
        <f>'N TRIBUTARIO'!M129</f>
        <v>0</v>
      </c>
      <c r="O14" s="14">
        <f>'N TRIBUTARIO'!N129</f>
        <v>0</v>
      </c>
      <c r="P14" s="14">
        <f>'N TRIBUTARIO'!O129</f>
        <v>0</v>
      </c>
      <c r="Q14" s="14">
        <f>'N TRIBUTARIO'!P129</f>
        <v>1</v>
      </c>
      <c r="R14" s="14">
        <f>'N TRIBUTARIO'!Q129</f>
        <v>0</v>
      </c>
      <c r="S14" s="14">
        <f>'N TRIBUTARIO'!R129</f>
        <v>0</v>
      </c>
      <c r="T14" s="14">
        <f>'N TRIBUTARIO'!S129</f>
        <v>0</v>
      </c>
      <c r="U14" s="14" t="str">
        <f>'N TRIBUTARIO'!T129</f>
        <v>-</v>
      </c>
      <c r="V14" s="14" t="str">
        <f>'N TRIBUTARIO'!U129</f>
        <v xml:space="preserve"> </v>
      </c>
      <c r="W14" s="14" t="str">
        <f>'N TRIBUTARIO'!V129</f>
        <v>SANTA CRUZ ANALQUITO-0713-NORTE</v>
      </c>
      <c r="X14" s="14" t="str">
        <f>'N TRIBUTARIO'!W129</f>
        <v>0713-071079-001-0</v>
      </c>
      <c r="Y14" s="14" t="str">
        <f>'N TRIBUTARIO'!X129</f>
        <v>SANTA CRUZ ANALQUITO NORTE</v>
      </c>
      <c r="Z14" s="14" t="str">
        <f>'N TRIBUTARIO'!Y129</f>
        <v>0713-071079-001-0 SANTA CRUZ ANALQUITO NORTE</v>
      </c>
      <c r="AA14" s="14" t="str">
        <f>'N TRIBUTARIO'!Z129</f>
        <v>0713 SANTA CRUZ ANALQUITO-NORTE</v>
      </c>
      <c r="AB14" s="14">
        <f>'N TRIBUTARIO'!AA129</f>
        <v>0</v>
      </c>
      <c r="AC14" s="14">
        <f>'N TRIBUTARIO'!AB129</f>
        <v>0</v>
      </c>
      <c r="AD14" s="14">
        <f>'N TRIBUTARIO'!AC129</f>
        <v>0</v>
      </c>
    </row>
    <row r="15" spans="1:30" ht="19" customHeight="1" x14ac:dyDescent="0.4">
      <c r="A15" s="14">
        <f>'N TRIBUTARIO'!A130</f>
        <v>0</v>
      </c>
      <c r="B15" s="14" t="str">
        <f>'N TRIBUTARIO'!B130</f>
        <v>07</v>
      </c>
      <c r="C15" s="14" t="str">
        <f>'N TRIBUTARIO'!C130</f>
        <v>10</v>
      </c>
      <c r="D15" s="14" t="str">
        <f>'N TRIBUTARIO'!D130</f>
        <v>79</v>
      </c>
      <c r="E15" s="14" t="str">
        <f>'N TRIBUTARIO'!E130</f>
        <v>001</v>
      </c>
      <c r="F15" s="14">
        <f>'N TRIBUTARIO'!F130</f>
        <v>0</v>
      </c>
      <c r="G15" s="14">
        <f>'N TRIBUTARIO'!G130</f>
        <v>129</v>
      </c>
      <c r="H15" s="14" t="str">
        <f>'N TRIBUTARIO'!H130</f>
        <v>0714</v>
      </c>
      <c r="I15" s="14">
        <f>'N TRIBUTARIO'!I130</f>
        <v>0</v>
      </c>
      <c r="J15" s="14" t="s">
        <v>725</v>
      </c>
      <c r="K15" s="14" t="str">
        <f>'N TRIBUTARIO'!J130</f>
        <v>SANTA CRUZ MICHAPA</v>
      </c>
      <c r="L15" s="14" t="str">
        <f>'N TRIBUTARIO'!K130</f>
        <v>SUR</v>
      </c>
      <c r="M15" s="14" t="str">
        <f>'N TRIBUTARIO'!L130</f>
        <v>CUSCATLAN</v>
      </c>
      <c r="N15" s="14">
        <f>'N TRIBUTARIO'!M130</f>
        <v>0</v>
      </c>
      <c r="O15" s="14">
        <f>'N TRIBUTARIO'!N130</f>
        <v>0</v>
      </c>
      <c r="P15" s="14">
        <f>'N TRIBUTARIO'!O130</f>
        <v>0</v>
      </c>
      <c r="Q15" s="14">
        <f>'N TRIBUTARIO'!P130</f>
        <v>0</v>
      </c>
      <c r="R15" s="14">
        <f>'N TRIBUTARIO'!Q130</f>
        <v>0</v>
      </c>
      <c r="S15" s="14">
        <f>'N TRIBUTARIO'!R130</f>
        <v>1</v>
      </c>
      <c r="T15" s="14">
        <f>'N TRIBUTARIO'!S130</f>
        <v>0</v>
      </c>
      <c r="U15" s="14" t="str">
        <f>'N TRIBUTARIO'!T130</f>
        <v>-</v>
      </c>
      <c r="V15" s="14" t="str">
        <f>'N TRIBUTARIO'!U130</f>
        <v xml:space="preserve"> </v>
      </c>
      <c r="W15" s="14" t="str">
        <f>'N TRIBUTARIO'!V130</f>
        <v>SANTA CRUZ MICHAPA-0714-SUR</v>
      </c>
      <c r="X15" s="14" t="str">
        <f>'N TRIBUTARIO'!W130</f>
        <v>0714-071079-001-0</v>
      </c>
      <c r="Y15" s="14" t="str">
        <f>'N TRIBUTARIO'!X130</f>
        <v>SANTA CRUZ MICHAPA SUR</v>
      </c>
      <c r="Z15" s="14" t="str">
        <f>'N TRIBUTARIO'!Y130</f>
        <v>0714-071079-001-0 SANTA CRUZ MICHAPA SUR</v>
      </c>
      <c r="AA15" s="14" t="str">
        <f>'N TRIBUTARIO'!Z130</f>
        <v>0714 SANTA CRUZ MICHAPA-SUR</v>
      </c>
      <c r="AB15" s="14">
        <f>'N TRIBUTARIO'!AA130</f>
        <v>0</v>
      </c>
      <c r="AC15" s="14">
        <f>'N TRIBUTARIO'!AB130</f>
        <v>0</v>
      </c>
      <c r="AD15" s="14">
        <f>'N TRIBUTARIO'!AC130</f>
        <v>0</v>
      </c>
    </row>
    <row r="16" spans="1:30" ht="19" customHeight="1" x14ac:dyDescent="0.4">
      <c r="A16" s="14" t="str">
        <f>'N TRIBUTARIO'!A131</f>
        <v>N1</v>
      </c>
      <c r="B16" s="14" t="str">
        <f>'N TRIBUTARIO'!B131</f>
        <v>01</v>
      </c>
      <c r="C16" s="14" t="str">
        <f>'N TRIBUTARIO'!C131</f>
        <v>06</v>
      </c>
      <c r="D16" s="14" t="str">
        <f>'N TRIBUTARIO'!D131</f>
        <v>11</v>
      </c>
      <c r="E16" s="14" t="str">
        <f>'N TRIBUTARIO'!E131</f>
        <v>001</v>
      </c>
      <c r="F16" s="14">
        <f>'N TRIBUTARIO'!F131</f>
        <v>2</v>
      </c>
      <c r="G16" s="14">
        <f>'N TRIBUTARIO'!G131</f>
        <v>130</v>
      </c>
      <c r="H16" s="14" t="str">
        <f>'N TRIBUTARIO'!H131</f>
        <v>0715</v>
      </c>
      <c r="I16" s="14">
        <f>'N TRIBUTARIO'!I131</f>
        <v>0</v>
      </c>
      <c r="J16" s="14" t="s">
        <v>725</v>
      </c>
      <c r="K16" s="14" t="str">
        <f>'N TRIBUTARIO'!J131</f>
        <v>SUCHITOTO</v>
      </c>
      <c r="L16" s="14" t="str">
        <f>'N TRIBUTARIO'!K131</f>
        <v>NORTE</v>
      </c>
      <c r="M16" s="14" t="str">
        <f>'N TRIBUTARIO'!L131</f>
        <v>CUSCATLAN</v>
      </c>
      <c r="N16" s="14">
        <f>'N TRIBUTARIO'!M131</f>
        <v>0</v>
      </c>
      <c r="O16" s="14">
        <f>'N TRIBUTARIO'!N131</f>
        <v>0</v>
      </c>
      <c r="P16" s="14">
        <f>'N TRIBUTARIO'!O131</f>
        <v>0</v>
      </c>
      <c r="Q16" s="14">
        <f>'N TRIBUTARIO'!P131</f>
        <v>1</v>
      </c>
      <c r="R16" s="14">
        <f>'N TRIBUTARIO'!Q131</f>
        <v>0</v>
      </c>
      <c r="S16" s="14">
        <f>'N TRIBUTARIO'!R131</f>
        <v>0</v>
      </c>
      <c r="T16" s="14">
        <f>'N TRIBUTARIO'!S131</f>
        <v>0</v>
      </c>
      <c r="U16" s="14" t="str">
        <f>'N TRIBUTARIO'!T131</f>
        <v>-</v>
      </c>
      <c r="V16" s="14" t="str">
        <f>'N TRIBUTARIO'!U131</f>
        <v xml:space="preserve"> </v>
      </c>
      <c r="W16" s="14" t="str">
        <f>'N TRIBUTARIO'!V131</f>
        <v>SUCHITOTO-0715-NORTE</v>
      </c>
      <c r="X16" s="14" t="str">
        <f>'N TRIBUTARIO'!W131</f>
        <v>0715-010611-001-2</v>
      </c>
      <c r="Y16" s="14" t="str">
        <f>'N TRIBUTARIO'!X131</f>
        <v>SUCHITOTO NORTE</v>
      </c>
      <c r="Z16" s="14" t="str">
        <f>'N TRIBUTARIO'!Y131</f>
        <v>0715-010611-001-2 SUCHITOTO NORTE</v>
      </c>
      <c r="AA16" s="14" t="str">
        <f>'N TRIBUTARIO'!Z131</f>
        <v>0715 SUCHITOTO-NORTE</v>
      </c>
      <c r="AB16" s="14">
        <f>'N TRIBUTARIO'!AA131</f>
        <v>499.17</v>
      </c>
      <c r="AC16" s="14">
        <f>'N TRIBUTARIO'!AB131</f>
        <v>90452</v>
      </c>
      <c r="AD16" s="14">
        <f>'N TRIBUTARIO'!AC131</f>
        <v>181.2</v>
      </c>
    </row>
    <row r="17" spans="1:30" ht="19" customHeight="1" x14ac:dyDescent="0.4">
      <c r="A17" s="14">
        <f>'N TRIBUTARIO'!A132</f>
        <v>0</v>
      </c>
      <c r="B17" s="14" t="str">
        <f>'N TRIBUTARIO'!B132</f>
        <v>07</v>
      </c>
      <c r="C17" s="14" t="str">
        <f>'N TRIBUTARIO'!C132</f>
        <v>10</v>
      </c>
      <c r="D17" s="14" t="str">
        <f>'N TRIBUTARIO'!D132</f>
        <v>79</v>
      </c>
      <c r="E17" s="14" t="str">
        <f>'N TRIBUTARIO'!E132</f>
        <v>001</v>
      </c>
      <c r="F17" s="14">
        <f>'N TRIBUTARIO'!F132</f>
        <v>0</v>
      </c>
      <c r="G17" s="14">
        <f>'N TRIBUTARIO'!G132</f>
        <v>131</v>
      </c>
      <c r="H17" s="14" t="str">
        <f>'N TRIBUTARIO'!H132</f>
        <v>0716</v>
      </c>
      <c r="I17" s="14">
        <f>'N TRIBUTARIO'!I132</f>
        <v>0</v>
      </c>
      <c r="J17" s="14" t="s">
        <v>725</v>
      </c>
      <c r="K17" s="14" t="str">
        <f>'N TRIBUTARIO'!J132</f>
        <v>TENANCINGO</v>
      </c>
      <c r="L17" s="14" t="str">
        <f>'N TRIBUTARIO'!K132</f>
        <v>SUR</v>
      </c>
      <c r="M17" s="14" t="str">
        <f>'N TRIBUTARIO'!L132</f>
        <v>CUSCATLAN</v>
      </c>
      <c r="N17" s="14">
        <f>'N TRIBUTARIO'!M132</f>
        <v>0</v>
      </c>
      <c r="O17" s="14">
        <f>'N TRIBUTARIO'!N132</f>
        <v>0</v>
      </c>
      <c r="P17" s="14">
        <f>'N TRIBUTARIO'!O132</f>
        <v>0</v>
      </c>
      <c r="Q17" s="14">
        <f>'N TRIBUTARIO'!P132</f>
        <v>0</v>
      </c>
      <c r="R17" s="14">
        <f>'N TRIBUTARIO'!Q132</f>
        <v>0</v>
      </c>
      <c r="S17" s="14">
        <f>'N TRIBUTARIO'!R132</f>
        <v>1</v>
      </c>
      <c r="T17" s="14">
        <f>'N TRIBUTARIO'!S132</f>
        <v>0</v>
      </c>
      <c r="U17" s="14" t="str">
        <f>'N TRIBUTARIO'!T132</f>
        <v>-</v>
      </c>
      <c r="V17" s="14" t="str">
        <f>'N TRIBUTARIO'!U132</f>
        <v xml:space="preserve"> </v>
      </c>
      <c r="W17" s="14" t="str">
        <f>'N TRIBUTARIO'!V132</f>
        <v>TENANCINGO-0716-SUR</v>
      </c>
      <c r="X17" s="14" t="str">
        <f>'N TRIBUTARIO'!W132</f>
        <v>0716-071079-001-0</v>
      </c>
      <c r="Y17" s="14" t="str">
        <f>'N TRIBUTARIO'!X132</f>
        <v>TENANCINGO SUR</v>
      </c>
      <c r="Z17" s="14" t="str">
        <f>'N TRIBUTARIO'!Y132</f>
        <v>0716-071079-001-0 TENANCINGO SUR</v>
      </c>
      <c r="AA17" s="14" t="str">
        <f>'N TRIBUTARIO'!Z132</f>
        <v>0716 TENANCINGO-SUR</v>
      </c>
      <c r="AB17" s="14">
        <f>'N TRIBUTARIO'!AA132</f>
        <v>0</v>
      </c>
      <c r="AC17" s="14">
        <f>'N TRIBUTARIO'!AB132</f>
        <v>0</v>
      </c>
      <c r="AD17" s="14">
        <f>'N TRIBUTARIO'!AC132</f>
        <v>0</v>
      </c>
    </row>
    <row r="18" spans="1:30" ht="19" customHeight="1" x14ac:dyDescent="0.4">
      <c r="N18" s="1">
        <f>SUM(N2:N17)</f>
        <v>0</v>
      </c>
      <c r="O18" s="1">
        <f t="shared" ref="O18:S18" si="0">SUM(O2:O17)</f>
        <v>0</v>
      </c>
      <c r="P18" s="1">
        <f t="shared" si="0"/>
        <v>0</v>
      </c>
      <c r="Q18" s="1">
        <f t="shared" si="0"/>
        <v>6</v>
      </c>
      <c r="R18" s="1">
        <f t="shared" si="0"/>
        <v>0</v>
      </c>
      <c r="S18" s="1">
        <f t="shared" si="0"/>
        <v>10</v>
      </c>
    </row>
    <row r="19" spans="1:30" ht="19" customHeight="1" x14ac:dyDescent="0.4">
      <c r="J19" s="1" t="str">
        <f>Q1</f>
        <v>NORTE</v>
      </c>
      <c r="K19" s="1" t="str">
        <f>CONCATENATE(K7,J7,K8,J8,K10,J10,K11,J11,K14,J14,K16)</f>
        <v>ORATORIO DE CONCEPCION, SAN BARTOLOME PERULAPIA, SAN JOSE GUAYABAL, SAN PEDRO PERULAPAN, SANTA CRUZ ANALQUITO, SUCHITOTO</v>
      </c>
    </row>
    <row r="20" spans="1:30" ht="19" customHeight="1" x14ac:dyDescent="0.4">
      <c r="J20" s="1" t="str">
        <f>S1</f>
        <v>SUR</v>
      </c>
      <c r="K20" s="1" t="str">
        <f>CONCATENATE(K2,J2,K3,J3,K4,J4,K5,J5,K6,J6,K9,J9,K12,J12,K13,J13,K15,J15,K17)</f>
        <v>CANDELARIA, COJUTEPEQUE, EL CARMEN, EL ROSARIO CUSCATLAN, MONTE SAN JUAN, SAN CRISTOBAL, SAN RAFAEL CEDROS, SAN RAMON, SANTA CRUZ MICHAPA, TENANCINGO</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F3028-1F44-4082-97F3-6591B095866B}">
  <sheetPr codeName="Hoja15"/>
  <dimension ref="A1:AD27"/>
  <sheetViews>
    <sheetView showZeros="0" topLeftCell="A11"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3" t="str">
        <f>'N TRIBUTARIO'!A133</f>
        <v>O1</v>
      </c>
      <c r="B2" s="13" t="str">
        <f>'N TRIBUTARIO'!B133</f>
        <v>08</v>
      </c>
      <c r="C2" s="13" t="str">
        <f>'N TRIBUTARIO'!C133</f>
        <v>10</v>
      </c>
      <c r="D2" s="13" t="str">
        <f>'N TRIBUTARIO'!D133</f>
        <v>79</v>
      </c>
      <c r="E2" s="13" t="str">
        <f>'N TRIBUTARIO'!E133</f>
        <v>001</v>
      </c>
      <c r="F2" s="13">
        <f>'N TRIBUTARIO'!F133</f>
        <v>9</v>
      </c>
      <c r="G2" s="13">
        <f>'N TRIBUTARIO'!G133</f>
        <v>132</v>
      </c>
      <c r="H2" s="13" t="str">
        <f>'N TRIBUTARIO'!H133</f>
        <v>0801</v>
      </c>
      <c r="I2" s="13">
        <f>'N TRIBUTARIO'!I133</f>
        <v>0</v>
      </c>
      <c r="J2" s="13" t="s">
        <v>725</v>
      </c>
      <c r="K2" s="13" t="str">
        <f>'N TRIBUTARIO'!J133</f>
        <v>CUYULTITAN</v>
      </c>
      <c r="L2" s="13" t="str">
        <f>'N TRIBUTARIO'!K133</f>
        <v>OESTE</v>
      </c>
      <c r="M2" s="13" t="str">
        <f>'N TRIBUTARIO'!L133</f>
        <v>LA PAZ</v>
      </c>
      <c r="N2" s="13">
        <f>'N TRIBUTARIO'!M133</f>
        <v>0</v>
      </c>
      <c r="O2" s="13">
        <f>'N TRIBUTARIO'!N133</f>
        <v>0</v>
      </c>
      <c r="P2" s="13">
        <f>'N TRIBUTARIO'!O133</f>
        <v>0</v>
      </c>
      <c r="Q2" s="13">
        <f>'N TRIBUTARIO'!P133</f>
        <v>0</v>
      </c>
      <c r="R2" s="13">
        <f>'N TRIBUTARIO'!Q133</f>
        <v>1</v>
      </c>
      <c r="S2" s="13">
        <f>'N TRIBUTARIO'!R133</f>
        <v>0</v>
      </c>
      <c r="T2" s="13">
        <f>'N TRIBUTARIO'!S133</f>
        <v>0</v>
      </c>
      <c r="U2" s="13" t="str">
        <f>'N TRIBUTARIO'!T133</f>
        <v>-</v>
      </c>
      <c r="V2" s="13" t="str">
        <f>'N TRIBUTARIO'!U133</f>
        <v xml:space="preserve"> </v>
      </c>
      <c r="W2" s="13" t="str">
        <f>'N TRIBUTARIO'!V133</f>
        <v>CUYULTITAN-0801-OESTE</v>
      </c>
      <c r="X2" s="13" t="str">
        <f>'N TRIBUTARIO'!W133</f>
        <v>0801-081079-001-9</v>
      </c>
      <c r="Y2" s="13" t="str">
        <f>'N TRIBUTARIO'!X133</f>
        <v>CUYULTITAN OESTE</v>
      </c>
      <c r="Z2" s="13" t="str">
        <f>'N TRIBUTARIO'!Y133</f>
        <v>0801-081079-001-9 CUYULTITAN OESTE</v>
      </c>
      <c r="AA2" s="13" t="str">
        <f>'N TRIBUTARIO'!Z133</f>
        <v>0801 CUYULTITAN-OESTE</v>
      </c>
      <c r="AB2" s="13">
        <f>'N TRIBUTARIO'!AA133</f>
        <v>381.23</v>
      </c>
      <c r="AC2" s="13">
        <f>'N TRIBUTARIO'!AB133</f>
        <v>101279</v>
      </c>
      <c r="AD2" s="13">
        <f>'N TRIBUTARIO'!AC133</f>
        <v>265.66000000000003</v>
      </c>
    </row>
    <row r="3" spans="1:30" ht="19" customHeight="1" x14ac:dyDescent="0.4">
      <c r="A3" s="13" t="str">
        <f>'N TRIBUTARIO'!A134</f>
        <v>1C</v>
      </c>
      <c r="B3" s="13" t="str">
        <f>'N TRIBUTARIO'!B134</f>
        <v>08</v>
      </c>
      <c r="C3" s="13" t="str">
        <f>'N TRIBUTARIO'!C134</f>
        <v>10</v>
      </c>
      <c r="D3" s="13" t="str">
        <f>'N TRIBUTARIO'!D134</f>
        <v>79</v>
      </c>
      <c r="E3" s="13" t="str">
        <f>'N TRIBUTARIO'!E134</f>
        <v>001</v>
      </c>
      <c r="F3" s="13">
        <f>'N TRIBUTARIO'!F134</f>
        <v>9</v>
      </c>
      <c r="G3" s="13">
        <f>'N TRIBUTARIO'!G134</f>
        <v>133</v>
      </c>
      <c r="H3" s="13" t="str">
        <f>'N TRIBUTARIO'!H134</f>
        <v>0802</v>
      </c>
      <c r="I3" s="13">
        <f>'N TRIBUTARIO'!I134</f>
        <v>0</v>
      </c>
      <c r="J3" s="13" t="s">
        <v>725</v>
      </c>
      <c r="K3" s="13" t="str">
        <f>'N TRIBUTARIO'!J134</f>
        <v>EL ROSARIO</v>
      </c>
      <c r="L3" s="13" t="str">
        <f>'N TRIBUTARIO'!K134</f>
        <v>CENTRO</v>
      </c>
      <c r="M3" s="13" t="str">
        <f>'N TRIBUTARIO'!L134</f>
        <v>LA PAZ</v>
      </c>
      <c r="N3" s="13">
        <f>'N TRIBUTARIO'!M134</f>
        <v>1</v>
      </c>
      <c r="O3" s="13">
        <f>'N TRIBUTARIO'!N134</f>
        <v>0</v>
      </c>
      <c r="P3" s="13">
        <f>'N TRIBUTARIO'!O134</f>
        <v>0</v>
      </c>
      <c r="Q3" s="13">
        <f>'N TRIBUTARIO'!P134</f>
        <v>0</v>
      </c>
      <c r="R3" s="13">
        <f>'N TRIBUTARIO'!Q134</f>
        <v>0</v>
      </c>
      <c r="S3" s="13">
        <f>'N TRIBUTARIO'!R134</f>
        <v>0</v>
      </c>
      <c r="T3" s="13">
        <f>'N TRIBUTARIO'!S134</f>
        <v>0</v>
      </c>
      <c r="U3" s="13" t="str">
        <f>'N TRIBUTARIO'!T134</f>
        <v>-</v>
      </c>
      <c r="V3" s="13" t="str">
        <f>'N TRIBUTARIO'!U134</f>
        <v xml:space="preserve"> </v>
      </c>
      <c r="W3" s="13" t="str">
        <f>'N TRIBUTARIO'!V134</f>
        <v>EL ROSARIO-0802-CENTRO</v>
      </c>
      <c r="X3" s="13" t="str">
        <f>'N TRIBUTARIO'!W134</f>
        <v>0802-081079-001-9</v>
      </c>
      <c r="Y3" s="13" t="str">
        <f>'N TRIBUTARIO'!X134</f>
        <v>EL ROSARIO CENTRO</v>
      </c>
      <c r="Z3" s="13" t="str">
        <f>'N TRIBUTARIO'!Y134</f>
        <v>0802-081079-001-9 EL ROSARIO CENTRO</v>
      </c>
      <c r="AA3" s="13" t="str">
        <f>'N TRIBUTARIO'!Z134</f>
        <v>0802 EL ROSARIO-CENTRO</v>
      </c>
      <c r="AB3" s="13">
        <f>'N TRIBUTARIO'!AA134</f>
        <v>450.42</v>
      </c>
      <c r="AC3" s="13">
        <f>'N TRIBUTARIO'!AB134</f>
        <v>115564</v>
      </c>
      <c r="AD3" s="13">
        <f>'N TRIBUTARIO'!AC134</f>
        <v>256.57</v>
      </c>
    </row>
    <row r="4" spans="1:30" ht="19" customHeight="1" x14ac:dyDescent="0.4">
      <c r="A4" s="13">
        <f>'N TRIBUTARIO'!A135</f>
        <v>0</v>
      </c>
      <c r="B4" s="13" t="str">
        <f>'N TRIBUTARIO'!B135</f>
        <v>08</v>
      </c>
      <c r="C4" s="13" t="str">
        <f>'N TRIBUTARIO'!C135</f>
        <v>10</v>
      </c>
      <c r="D4" s="13" t="str">
        <f>'N TRIBUTARIO'!D135</f>
        <v>79</v>
      </c>
      <c r="E4" s="13" t="str">
        <f>'N TRIBUTARIO'!E135</f>
        <v>001</v>
      </c>
      <c r="F4" s="13">
        <f>'N TRIBUTARIO'!F135</f>
        <v>9</v>
      </c>
      <c r="G4" s="13">
        <f>'N TRIBUTARIO'!G135</f>
        <v>134</v>
      </c>
      <c r="H4" s="13" t="str">
        <f>'N TRIBUTARIO'!H135</f>
        <v>0803</v>
      </c>
      <c r="I4" s="13">
        <f>'N TRIBUTARIO'!I135</f>
        <v>0</v>
      </c>
      <c r="J4" s="13" t="s">
        <v>725</v>
      </c>
      <c r="K4" s="13" t="str">
        <f>'N TRIBUTARIO'!J135</f>
        <v>JERUSALEN</v>
      </c>
      <c r="L4" s="13" t="str">
        <f>'N TRIBUTARIO'!K135</f>
        <v>CENTRO</v>
      </c>
      <c r="M4" s="13" t="str">
        <f>'N TRIBUTARIO'!L135</f>
        <v>LA PAZ</v>
      </c>
      <c r="N4" s="13">
        <f>'N TRIBUTARIO'!M135</f>
        <v>1</v>
      </c>
      <c r="O4" s="13">
        <f>'N TRIBUTARIO'!N135</f>
        <v>0</v>
      </c>
      <c r="P4" s="13">
        <f>'N TRIBUTARIO'!O135</f>
        <v>0</v>
      </c>
      <c r="Q4" s="13">
        <f>'N TRIBUTARIO'!P135</f>
        <v>0</v>
      </c>
      <c r="R4" s="13">
        <f>'N TRIBUTARIO'!Q135</f>
        <v>0</v>
      </c>
      <c r="S4" s="13">
        <f>'N TRIBUTARIO'!R135</f>
        <v>0</v>
      </c>
      <c r="T4" s="13">
        <f>'N TRIBUTARIO'!S135</f>
        <v>0</v>
      </c>
      <c r="U4" s="13" t="str">
        <f>'N TRIBUTARIO'!T135</f>
        <v>-</v>
      </c>
      <c r="V4" s="13" t="str">
        <f>'N TRIBUTARIO'!U135</f>
        <v xml:space="preserve"> </v>
      </c>
      <c r="W4" s="13" t="str">
        <f>'N TRIBUTARIO'!V135</f>
        <v>JERUSALEN-0803-CENTRO</v>
      </c>
      <c r="X4" s="13" t="str">
        <f>'N TRIBUTARIO'!W135</f>
        <v>0803-081079-001-9</v>
      </c>
      <c r="Y4" s="13" t="str">
        <f>'N TRIBUTARIO'!X135</f>
        <v>JERUSALEN CENTRO</v>
      </c>
      <c r="Z4" s="13" t="str">
        <f>'N TRIBUTARIO'!Y135</f>
        <v>0803-081079-001-9 JERUSALEN CENTRO</v>
      </c>
      <c r="AA4" s="13" t="str">
        <f>'N TRIBUTARIO'!Z135</f>
        <v>0803 JERUSALEN-CENTRO</v>
      </c>
      <c r="AB4" s="13">
        <f>'N TRIBUTARIO'!AA135</f>
        <v>0</v>
      </c>
      <c r="AC4" s="13">
        <f>'N TRIBUTARIO'!AB135</f>
        <v>0</v>
      </c>
      <c r="AD4" s="13">
        <f>'N TRIBUTARIO'!AC135</f>
        <v>0</v>
      </c>
    </row>
    <row r="5" spans="1:30" ht="19" customHeight="1" x14ac:dyDescent="0.4">
      <c r="A5" s="13">
        <f>'N TRIBUTARIO'!A136</f>
        <v>0</v>
      </c>
      <c r="B5" s="13" t="str">
        <f>'N TRIBUTARIO'!B136</f>
        <v>08</v>
      </c>
      <c r="C5" s="13" t="str">
        <f>'N TRIBUTARIO'!C136</f>
        <v>10</v>
      </c>
      <c r="D5" s="13" t="str">
        <f>'N TRIBUTARIO'!D136</f>
        <v>79</v>
      </c>
      <c r="E5" s="13" t="str">
        <f>'N TRIBUTARIO'!E136</f>
        <v>001</v>
      </c>
      <c r="F5" s="13">
        <f>'N TRIBUTARIO'!F136</f>
        <v>9</v>
      </c>
      <c r="G5" s="13">
        <f>'N TRIBUTARIO'!G136</f>
        <v>135</v>
      </c>
      <c r="H5" s="13" t="str">
        <f>'N TRIBUTARIO'!H136</f>
        <v>0804</v>
      </c>
      <c r="I5" s="13">
        <f>'N TRIBUTARIO'!I136</f>
        <v>0</v>
      </c>
      <c r="J5" s="13" t="s">
        <v>725</v>
      </c>
      <c r="K5" s="13" t="str">
        <f>'N TRIBUTARIO'!J136</f>
        <v>MERCEDES LA CEIBA</v>
      </c>
      <c r="L5" s="13" t="str">
        <f>'N TRIBUTARIO'!K136</f>
        <v>CENTRO</v>
      </c>
      <c r="M5" s="13" t="str">
        <f>'N TRIBUTARIO'!L136</f>
        <v>LA PAZ</v>
      </c>
      <c r="N5" s="13">
        <f>'N TRIBUTARIO'!M136</f>
        <v>1</v>
      </c>
      <c r="O5" s="13">
        <f>'N TRIBUTARIO'!N136</f>
        <v>0</v>
      </c>
      <c r="P5" s="13">
        <f>'N TRIBUTARIO'!O136</f>
        <v>0</v>
      </c>
      <c r="Q5" s="13">
        <f>'N TRIBUTARIO'!P136</f>
        <v>0</v>
      </c>
      <c r="R5" s="13">
        <f>'N TRIBUTARIO'!Q136</f>
        <v>0</v>
      </c>
      <c r="S5" s="13">
        <f>'N TRIBUTARIO'!R136</f>
        <v>0</v>
      </c>
      <c r="T5" s="13">
        <f>'N TRIBUTARIO'!S136</f>
        <v>0</v>
      </c>
      <c r="U5" s="13" t="str">
        <f>'N TRIBUTARIO'!T136</f>
        <v>-</v>
      </c>
      <c r="V5" s="13" t="str">
        <f>'N TRIBUTARIO'!U136</f>
        <v xml:space="preserve"> </v>
      </c>
      <c r="W5" s="13" t="str">
        <f>'N TRIBUTARIO'!V136</f>
        <v>MERCEDES LA CEIBA-0804-CENTRO</v>
      </c>
      <c r="X5" s="13" t="str">
        <f>'N TRIBUTARIO'!W136</f>
        <v>0804-081079-001-9</v>
      </c>
      <c r="Y5" s="13" t="str">
        <f>'N TRIBUTARIO'!X136</f>
        <v>MERCEDES LA CEIBA CENTRO</v>
      </c>
      <c r="Z5" s="13" t="str">
        <f>'N TRIBUTARIO'!Y136</f>
        <v>0804-081079-001-9 MERCEDES LA CEIBA CENTRO</v>
      </c>
      <c r="AA5" s="13" t="str">
        <f>'N TRIBUTARIO'!Z136</f>
        <v>0804 MERCEDES LA CEIBA-CENTRO</v>
      </c>
      <c r="AB5" s="13">
        <f>'N TRIBUTARIO'!AA136</f>
        <v>0</v>
      </c>
      <c r="AC5" s="13">
        <f>'N TRIBUTARIO'!AB136</f>
        <v>0</v>
      </c>
      <c r="AD5" s="13">
        <f>'N TRIBUTARIO'!AC136</f>
        <v>0</v>
      </c>
    </row>
    <row r="6" spans="1:30" ht="19" customHeight="1" x14ac:dyDescent="0.4">
      <c r="A6" s="13">
        <f>'N TRIBUTARIO'!A137</f>
        <v>0</v>
      </c>
      <c r="B6" s="13" t="str">
        <f>'N TRIBUTARIO'!B137</f>
        <v>08</v>
      </c>
      <c r="C6" s="13" t="str">
        <f>'N TRIBUTARIO'!C137</f>
        <v>10</v>
      </c>
      <c r="D6" s="13" t="str">
        <f>'N TRIBUTARIO'!D137</f>
        <v>79</v>
      </c>
      <c r="E6" s="13" t="str">
        <f>'N TRIBUTARIO'!E137</f>
        <v>001</v>
      </c>
      <c r="F6" s="13">
        <f>'N TRIBUTARIO'!F137</f>
        <v>9</v>
      </c>
      <c r="G6" s="13">
        <f>'N TRIBUTARIO'!G137</f>
        <v>136</v>
      </c>
      <c r="H6" s="13" t="str">
        <f>'N TRIBUTARIO'!H137</f>
        <v>0805</v>
      </c>
      <c r="I6" s="13">
        <f>'N TRIBUTARIO'!I137</f>
        <v>0</v>
      </c>
      <c r="J6" s="13" t="s">
        <v>725</v>
      </c>
      <c r="K6" s="13" t="str">
        <f>'N TRIBUTARIO'!J137</f>
        <v>OLOCUILTA</v>
      </c>
      <c r="L6" s="13" t="str">
        <f>'N TRIBUTARIO'!K137</f>
        <v>OESTE</v>
      </c>
      <c r="M6" s="13" t="str">
        <f>'N TRIBUTARIO'!L137</f>
        <v>LA PAZ</v>
      </c>
      <c r="N6" s="13">
        <f>'N TRIBUTARIO'!M137</f>
        <v>0</v>
      </c>
      <c r="O6" s="13">
        <f>'N TRIBUTARIO'!N137</f>
        <v>0</v>
      </c>
      <c r="P6" s="13">
        <f>'N TRIBUTARIO'!O137</f>
        <v>0</v>
      </c>
      <c r="Q6" s="13">
        <f>'N TRIBUTARIO'!P137</f>
        <v>0</v>
      </c>
      <c r="R6" s="13">
        <f>'N TRIBUTARIO'!Q137</f>
        <v>1</v>
      </c>
      <c r="S6" s="13">
        <f>'N TRIBUTARIO'!R137</f>
        <v>0</v>
      </c>
      <c r="T6" s="13">
        <f>'N TRIBUTARIO'!S137</f>
        <v>0</v>
      </c>
      <c r="U6" s="13" t="str">
        <f>'N TRIBUTARIO'!T137</f>
        <v>-</v>
      </c>
      <c r="V6" s="13" t="str">
        <f>'N TRIBUTARIO'!U137</f>
        <v xml:space="preserve"> </v>
      </c>
      <c r="W6" s="13" t="str">
        <f>'N TRIBUTARIO'!V137</f>
        <v>OLOCUILTA-0805-OESTE</v>
      </c>
      <c r="X6" s="13" t="str">
        <f>'N TRIBUTARIO'!W137</f>
        <v>0805-081079-001-9</v>
      </c>
      <c r="Y6" s="13" t="str">
        <f>'N TRIBUTARIO'!X137</f>
        <v>OLOCUILTA OESTE</v>
      </c>
      <c r="Z6" s="13" t="str">
        <f>'N TRIBUTARIO'!Y137</f>
        <v>0805-081079-001-9 OLOCUILTA OESTE</v>
      </c>
      <c r="AA6" s="13" t="str">
        <f>'N TRIBUTARIO'!Z137</f>
        <v>0805 OLOCUILTA-OESTE</v>
      </c>
      <c r="AB6" s="13">
        <f>'N TRIBUTARIO'!AA137</f>
        <v>0</v>
      </c>
      <c r="AC6" s="13">
        <f>'N TRIBUTARIO'!AB137</f>
        <v>0</v>
      </c>
      <c r="AD6" s="13">
        <f>'N TRIBUTARIO'!AC137</f>
        <v>0</v>
      </c>
    </row>
    <row r="7" spans="1:30" ht="19" customHeight="1" x14ac:dyDescent="0.4">
      <c r="A7" s="13">
        <f>'N TRIBUTARIO'!A138</f>
        <v>0</v>
      </c>
      <c r="B7" s="13" t="str">
        <f>'N TRIBUTARIO'!B138</f>
        <v>08</v>
      </c>
      <c r="C7" s="13" t="str">
        <f>'N TRIBUTARIO'!C138</f>
        <v>10</v>
      </c>
      <c r="D7" s="13" t="str">
        <f>'N TRIBUTARIO'!D138</f>
        <v>79</v>
      </c>
      <c r="E7" s="13" t="str">
        <f>'N TRIBUTARIO'!E138</f>
        <v>001</v>
      </c>
      <c r="F7" s="13">
        <f>'N TRIBUTARIO'!F138</f>
        <v>9</v>
      </c>
      <c r="G7" s="13">
        <f>'N TRIBUTARIO'!G138</f>
        <v>137</v>
      </c>
      <c r="H7" s="13" t="str">
        <f>'N TRIBUTARIO'!H138</f>
        <v>0806</v>
      </c>
      <c r="I7" s="13">
        <f>'N TRIBUTARIO'!I138</f>
        <v>0</v>
      </c>
      <c r="J7" s="13" t="s">
        <v>725</v>
      </c>
      <c r="K7" s="13" t="str">
        <f>'N TRIBUTARIO'!J138</f>
        <v>PARAISO DE OSORIO</v>
      </c>
      <c r="L7" s="13" t="str">
        <f>'N TRIBUTARIO'!K138</f>
        <v>CENTRO</v>
      </c>
      <c r="M7" s="13" t="str">
        <f>'N TRIBUTARIO'!L138</f>
        <v>LA PAZ</v>
      </c>
      <c r="N7" s="13">
        <f>'N TRIBUTARIO'!M138</f>
        <v>1</v>
      </c>
      <c r="O7" s="13">
        <f>'N TRIBUTARIO'!N138</f>
        <v>0</v>
      </c>
      <c r="P7" s="13">
        <f>'N TRIBUTARIO'!O138</f>
        <v>0</v>
      </c>
      <c r="Q7" s="13">
        <f>'N TRIBUTARIO'!P138</f>
        <v>0</v>
      </c>
      <c r="R7" s="13">
        <f>'N TRIBUTARIO'!Q138</f>
        <v>0</v>
      </c>
      <c r="S7" s="13">
        <f>'N TRIBUTARIO'!R138</f>
        <v>0</v>
      </c>
      <c r="T7" s="13">
        <f>'N TRIBUTARIO'!S138</f>
        <v>0</v>
      </c>
      <c r="U7" s="13" t="str">
        <f>'N TRIBUTARIO'!T138</f>
        <v>-</v>
      </c>
      <c r="V7" s="13" t="str">
        <f>'N TRIBUTARIO'!U138</f>
        <v xml:space="preserve"> </v>
      </c>
      <c r="W7" s="13" t="str">
        <f>'N TRIBUTARIO'!V138</f>
        <v>PARAISO DE OSORIO-0806-CENTRO</v>
      </c>
      <c r="X7" s="13" t="str">
        <f>'N TRIBUTARIO'!W138</f>
        <v>0806-081079-001-9</v>
      </c>
      <c r="Y7" s="13" t="str">
        <f>'N TRIBUTARIO'!X138</f>
        <v>PARAISO DE OSORIO CENTRO</v>
      </c>
      <c r="Z7" s="13" t="str">
        <f>'N TRIBUTARIO'!Y138</f>
        <v>0806-081079-001-9 PARAISO DE OSORIO CENTRO</v>
      </c>
      <c r="AA7" s="13" t="str">
        <f>'N TRIBUTARIO'!Z138</f>
        <v>0806 PARAISO DE OSORIO-CENTRO</v>
      </c>
      <c r="AB7" s="13">
        <f>'N TRIBUTARIO'!AA138</f>
        <v>0</v>
      </c>
      <c r="AC7" s="13">
        <f>'N TRIBUTARIO'!AB138</f>
        <v>0</v>
      </c>
      <c r="AD7" s="13">
        <f>'N TRIBUTARIO'!AC138</f>
        <v>0</v>
      </c>
    </row>
    <row r="8" spans="1:30" ht="19" customHeight="1" x14ac:dyDescent="0.4">
      <c r="A8" s="13">
        <f>'N TRIBUTARIO'!A139</f>
        <v>0</v>
      </c>
      <c r="B8" s="13" t="str">
        <f>'N TRIBUTARIO'!B139</f>
        <v>08</v>
      </c>
      <c r="C8" s="13" t="str">
        <f>'N TRIBUTARIO'!C139</f>
        <v>10</v>
      </c>
      <c r="D8" s="13" t="str">
        <f>'N TRIBUTARIO'!D139</f>
        <v>79</v>
      </c>
      <c r="E8" s="13" t="str">
        <f>'N TRIBUTARIO'!E139</f>
        <v>001</v>
      </c>
      <c r="F8" s="13">
        <f>'N TRIBUTARIO'!F139</f>
        <v>9</v>
      </c>
      <c r="G8" s="13">
        <f>'N TRIBUTARIO'!G139</f>
        <v>138</v>
      </c>
      <c r="H8" s="13" t="str">
        <f>'N TRIBUTARIO'!H139</f>
        <v>0807</v>
      </c>
      <c r="I8" s="13">
        <f>'N TRIBUTARIO'!I139</f>
        <v>0</v>
      </c>
      <c r="J8" s="13" t="s">
        <v>725</v>
      </c>
      <c r="K8" s="13" t="str">
        <f>'N TRIBUTARIO'!J139</f>
        <v>SAN ANTONIO MASAHUAT</v>
      </c>
      <c r="L8" s="13" t="str">
        <f>'N TRIBUTARIO'!K139</f>
        <v>CENTRO</v>
      </c>
      <c r="M8" s="13" t="str">
        <f>'N TRIBUTARIO'!L139</f>
        <v>LA PAZ</v>
      </c>
      <c r="N8" s="13">
        <f>'N TRIBUTARIO'!M139</f>
        <v>1</v>
      </c>
      <c r="O8" s="13">
        <f>'N TRIBUTARIO'!N139</f>
        <v>0</v>
      </c>
      <c r="P8" s="13">
        <f>'N TRIBUTARIO'!O139</f>
        <v>0</v>
      </c>
      <c r="Q8" s="13">
        <f>'N TRIBUTARIO'!P139</f>
        <v>0</v>
      </c>
      <c r="R8" s="13">
        <f>'N TRIBUTARIO'!Q139</f>
        <v>0</v>
      </c>
      <c r="S8" s="13">
        <f>'N TRIBUTARIO'!R139</f>
        <v>0</v>
      </c>
      <c r="T8" s="13">
        <f>'N TRIBUTARIO'!S139</f>
        <v>0</v>
      </c>
      <c r="U8" s="13" t="str">
        <f>'N TRIBUTARIO'!T139</f>
        <v>-</v>
      </c>
      <c r="V8" s="13" t="str">
        <f>'N TRIBUTARIO'!U139</f>
        <v xml:space="preserve"> </v>
      </c>
      <c r="W8" s="13" t="str">
        <f>'N TRIBUTARIO'!V139</f>
        <v>SAN ANTONIO MASAHUAT-0807-CENTRO</v>
      </c>
      <c r="X8" s="13" t="str">
        <f>'N TRIBUTARIO'!W139</f>
        <v>0807-081079-001-9</v>
      </c>
      <c r="Y8" s="13" t="str">
        <f>'N TRIBUTARIO'!X139</f>
        <v>SAN ANTONIO MASAHUAT CENTRO</v>
      </c>
      <c r="Z8" s="13" t="str">
        <f>'N TRIBUTARIO'!Y139</f>
        <v>0807-081079-001-9 SAN ANTONIO MASAHUAT CENTRO</v>
      </c>
      <c r="AA8" s="13" t="str">
        <f>'N TRIBUTARIO'!Z139</f>
        <v>0807 SAN ANTONIO MASAHUAT-CENTRO</v>
      </c>
      <c r="AB8" s="13">
        <f>'N TRIBUTARIO'!AA139</f>
        <v>0</v>
      </c>
      <c r="AC8" s="13">
        <f>'N TRIBUTARIO'!AB139</f>
        <v>0</v>
      </c>
      <c r="AD8" s="13">
        <f>'N TRIBUTARIO'!AC139</f>
        <v>0</v>
      </c>
    </row>
    <row r="9" spans="1:30" ht="19" customHeight="1" x14ac:dyDescent="0.4">
      <c r="A9" s="13">
        <f>'N TRIBUTARIO'!A140</f>
        <v>0</v>
      </c>
      <c r="B9" s="13" t="str">
        <f>'N TRIBUTARIO'!B140</f>
        <v>08</v>
      </c>
      <c r="C9" s="13" t="str">
        <f>'N TRIBUTARIO'!C140</f>
        <v>10</v>
      </c>
      <c r="D9" s="13" t="str">
        <f>'N TRIBUTARIO'!D140</f>
        <v>79</v>
      </c>
      <c r="E9" s="13" t="str">
        <f>'N TRIBUTARIO'!E140</f>
        <v>001</v>
      </c>
      <c r="F9" s="13">
        <f>'N TRIBUTARIO'!F140</f>
        <v>9</v>
      </c>
      <c r="G9" s="13">
        <f>'N TRIBUTARIO'!G140</f>
        <v>139</v>
      </c>
      <c r="H9" s="13" t="str">
        <f>'N TRIBUTARIO'!H140</f>
        <v>0808</v>
      </c>
      <c r="I9" s="13">
        <f>'N TRIBUTARIO'!I140</f>
        <v>0</v>
      </c>
      <c r="J9" s="13" t="s">
        <v>725</v>
      </c>
      <c r="K9" s="13" t="str">
        <f>'N TRIBUTARIO'!J140</f>
        <v>SAN EMIGDIO</v>
      </c>
      <c r="L9" s="13" t="str">
        <f>'N TRIBUTARIO'!K140</f>
        <v>CENTRO</v>
      </c>
      <c r="M9" s="13" t="str">
        <f>'N TRIBUTARIO'!L140</f>
        <v>LA PAZ</v>
      </c>
      <c r="N9" s="13">
        <f>'N TRIBUTARIO'!M140</f>
        <v>1</v>
      </c>
      <c r="O9" s="13">
        <f>'N TRIBUTARIO'!N140</f>
        <v>0</v>
      </c>
      <c r="P9" s="13">
        <f>'N TRIBUTARIO'!O140</f>
        <v>0</v>
      </c>
      <c r="Q9" s="13">
        <f>'N TRIBUTARIO'!P140</f>
        <v>0</v>
      </c>
      <c r="R9" s="13">
        <f>'N TRIBUTARIO'!Q140</f>
        <v>0</v>
      </c>
      <c r="S9" s="13">
        <f>'N TRIBUTARIO'!R140</f>
        <v>0</v>
      </c>
      <c r="T9" s="13">
        <f>'N TRIBUTARIO'!S140</f>
        <v>0</v>
      </c>
      <c r="U9" s="13" t="str">
        <f>'N TRIBUTARIO'!T140</f>
        <v>-</v>
      </c>
      <c r="V9" s="13" t="str">
        <f>'N TRIBUTARIO'!U140</f>
        <v xml:space="preserve"> </v>
      </c>
      <c r="W9" s="13" t="str">
        <f>'N TRIBUTARIO'!V140</f>
        <v>SAN EMIGDIO-0808-CENTRO</v>
      </c>
      <c r="X9" s="13" t="str">
        <f>'N TRIBUTARIO'!W140</f>
        <v>0808-081079-001-9</v>
      </c>
      <c r="Y9" s="13" t="str">
        <f>'N TRIBUTARIO'!X140</f>
        <v>SAN EMIGDIO CENTRO</v>
      </c>
      <c r="Z9" s="13" t="str">
        <f>'N TRIBUTARIO'!Y140</f>
        <v>0808-081079-001-9 SAN EMIGDIO CENTRO</v>
      </c>
      <c r="AA9" s="13" t="str">
        <f>'N TRIBUTARIO'!Z140</f>
        <v>0808 SAN EMIGDIO-CENTRO</v>
      </c>
      <c r="AB9" s="13">
        <f>'N TRIBUTARIO'!AA140</f>
        <v>0</v>
      </c>
      <c r="AC9" s="13">
        <f>'N TRIBUTARIO'!AB140</f>
        <v>0</v>
      </c>
      <c r="AD9" s="13">
        <f>'N TRIBUTARIO'!AC140</f>
        <v>0</v>
      </c>
    </row>
    <row r="10" spans="1:30" ht="19" customHeight="1" x14ac:dyDescent="0.4">
      <c r="A10" s="13">
        <f>'N TRIBUTARIO'!A141</f>
        <v>0</v>
      </c>
      <c r="B10" s="13" t="str">
        <f>'N TRIBUTARIO'!B141</f>
        <v>08</v>
      </c>
      <c r="C10" s="13" t="str">
        <f>'N TRIBUTARIO'!C141</f>
        <v>10</v>
      </c>
      <c r="D10" s="13" t="str">
        <f>'N TRIBUTARIO'!D141</f>
        <v>79</v>
      </c>
      <c r="E10" s="13" t="str">
        <f>'N TRIBUTARIO'!E141</f>
        <v>001</v>
      </c>
      <c r="F10" s="13">
        <f>'N TRIBUTARIO'!F141</f>
        <v>9</v>
      </c>
      <c r="G10" s="13">
        <f>'N TRIBUTARIO'!G141</f>
        <v>140</v>
      </c>
      <c r="H10" s="13" t="str">
        <f>'N TRIBUTARIO'!H141</f>
        <v>0809</v>
      </c>
      <c r="I10" s="13">
        <f>'N TRIBUTARIO'!I141</f>
        <v>0</v>
      </c>
      <c r="J10" s="13" t="s">
        <v>725</v>
      </c>
      <c r="K10" s="13" t="str">
        <f>'N TRIBUTARIO'!J141</f>
        <v>SAN FRANCISCO CHINAMECA</v>
      </c>
      <c r="L10" s="13" t="str">
        <f>'N TRIBUTARIO'!K141</f>
        <v>OESTE</v>
      </c>
      <c r="M10" s="13" t="str">
        <f>'N TRIBUTARIO'!L141</f>
        <v>LA PAZ</v>
      </c>
      <c r="N10" s="13">
        <f>'N TRIBUTARIO'!M141</f>
        <v>0</v>
      </c>
      <c r="O10" s="13">
        <f>'N TRIBUTARIO'!N141</f>
        <v>0</v>
      </c>
      <c r="P10" s="13">
        <f>'N TRIBUTARIO'!O141</f>
        <v>0</v>
      </c>
      <c r="Q10" s="13">
        <f>'N TRIBUTARIO'!P141</f>
        <v>0</v>
      </c>
      <c r="R10" s="13">
        <f>'N TRIBUTARIO'!Q141</f>
        <v>1</v>
      </c>
      <c r="S10" s="13">
        <f>'N TRIBUTARIO'!R141</f>
        <v>0</v>
      </c>
      <c r="T10" s="13">
        <f>'N TRIBUTARIO'!S141</f>
        <v>0</v>
      </c>
      <c r="U10" s="13" t="str">
        <f>'N TRIBUTARIO'!T141</f>
        <v>-</v>
      </c>
      <c r="V10" s="13" t="str">
        <f>'N TRIBUTARIO'!U141</f>
        <v xml:space="preserve"> </v>
      </c>
      <c r="W10" s="13" t="str">
        <f>'N TRIBUTARIO'!V141</f>
        <v>SAN FRANCISCO CHINAMECA-0809-OESTE</v>
      </c>
      <c r="X10" s="13" t="str">
        <f>'N TRIBUTARIO'!W141</f>
        <v>0809-081079-001-9</v>
      </c>
      <c r="Y10" s="13" t="str">
        <f>'N TRIBUTARIO'!X141</f>
        <v>SAN FRANCISCO CHINAMECA OESTE</v>
      </c>
      <c r="Z10" s="13" t="str">
        <f>'N TRIBUTARIO'!Y141</f>
        <v>0809-081079-001-9 SAN FRANCISCO CHINAMECA OESTE</v>
      </c>
      <c r="AA10" s="13" t="str">
        <f>'N TRIBUTARIO'!Z141</f>
        <v>0809 SAN FRANCISCO CHINAMECA-OESTE</v>
      </c>
      <c r="AB10" s="13">
        <f>'N TRIBUTARIO'!AA141</f>
        <v>0</v>
      </c>
      <c r="AC10" s="13">
        <f>'N TRIBUTARIO'!AB141</f>
        <v>0</v>
      </c>
      <c r="AD10" s="13">
        <f>'N TRIBUTARIO'!AC141</f>
        <v>0</v>
      </c>
    </row>
    <row r="11" spans="1:30" ht="19" customHeight="1" x14ac:dyDescent="0.4">
      <c r="A11" s="13" t="str">
        <f>'N TRIBUTARIO'!A142</f>
        <v>E1</v>
      </c>
      <c r="B11" s="13" t="str">
        <f>'N TRIBUTARIO'!B142</f>
        <v>08</v>
      </c>
      <c r="C11" s="13" t="str">
        <f>'N TRIBUTARIO'!C142</f>
        <v>10</v>
      </c>
      <c r="D11" s="13" t="str">
        <f>'N TRIBUTARIO'!D142</f>
        <v>79</v>
      </c>
      <c r="E11" s="13" t="str">
        <f>'N TRIBUTARIO'!E142</f>
        <v>001</v>
      </c>
      <c r="F11" s="13">
        <f>'N TRIBUTARIO'!F142</f>
        <v>0</v>
      </c>
      <c r="G11" s="13">
        <f>'N TRIBUTARIO'!G142</f>
        <v>141</v>
      </c>
      <c r="H11" s="13" t="str">
        <f>'N TRIBUTARIO'!H142</f>
        <v>0810</v>
      </c>
      <c r="I11" s="13">
        <f>'N TRIBUTARIO'!I142</f>
        <v>0</v>
      </c>
      <c r="J11" s="13" t="s">
        <v>725</v>
      </c>
      <c r="K11" s="13" t="str">
        <f>'N TRIBUTARIO'!J142</f>
        <v>SAN JUAN NONUALCO</v>
      </c>
      <c r="L11" s="13" t="str">
        <f>'N TRIBUTARIO'!K142</f>
        <v>ESTE</v>
      </c>
      <c r="M11" s="13" t="str">
        <f>'N TRIBUTARIO'!L142</f>
        <v>LA PAZ</v>
      </c>
      <c r="N11" s="13">
        <f>'N TRIBUTARIO'!M142</f>
        <v>0</v>
      </c>
      <c r="O11" s="13">
        <f>'N TRIBUTARIO'!N142</f>
        <v>0</v>
      </c>
      <c r="P11" s="13">
        <f>'N TRIBUTARIO'!O142</f>
        <v>1</v>
      </c>
      <c r="Q11" s="13">
        <f>'N TRIBUTARIO'!P142</f>
        <v>0</v>
      </c>
      <c r="R11" s="13">
        <f>'N TRIBUTARIO'!Q142</f>
        <v>0</v>
      </c>
      <c r="S11" s="13">
        <f>'N TRIBUTARIO'!R142</f>
        <v>0</v>
      </c>
      <c r="T11" s="13">
        <f>'N TRIBUTARIO'!S142</f>
        <v>0</v>
      </c>
      <c r="U11" s="13" t="str">
        <f>'N TRIBUTARIO'!T142</f>
        <v>-</v>
      </c>
      <c r="V11" s="13" t="str">
        <f>'N TRIBUTARIO'!U142</f>
        <v xml:space="preserve"> </v>
      </c>
      <c r="W11" s="13" t="str">
        <f>'N TRIBUTARIO'!V142</f>
        <v>SAN JUAN NONUALCO-0810-ESTE</v>
      </c>
      <c r="X11" s="13" t="str">
        <f>'N TRIBUTARIO'!W142</f>
        <v>0810-081079-001-0</v>
      </c>
      <c r="Y11" s="13" t="str">
        <f>'N TRIBUTARIO'!X142</f>
        <v>SAN JUAN NONUALCO ESTE</v>
      </c>
      <c r="Z11" s="13" t="str">
        <f>'N TRIBUTARIO'!Y142</f>
        <v>0810-081079-001-0 SAN JUAN NONUALCO ESTE</v>
      </c>
      <c r="AA11" s="13" t="str">
        <f>'N TRIBUTARIO'!Z142</f>
        <v>0810 SAN JUAN NONUALCO-ESTE</v>
      </c>
      <c r="AB11" s="13">
        <f>'N TRIBUTARIO'!AA142</f>
        <v>391.96</v>
      </c>
      <c r="AC11" s="13">
        <f>'N TRIBUTARIO'!AB142</f>
        <v>96565</v>
      </c>
      <c r="AD11" s="13">
        <f>'N TRIBUTARIO'!AC142</f>
        <v>246.36</v>
      </c>
    </row>
    <row r="12" spans="1:30" ht="19" customHeight="1" x14ac:dyDescent="0.4">
      <c r="A12" s="13">
        <f>'N TRIBUTARIO'!A143</f>
        <v>0</v>
      </c>
      <c r="B12" s="13" t="str">
        <f>'N TRIBUTARIO'!B143</f>
        <v>08</v>
      </c>
      <c r="C12" s="13" t="str">
        <f>'N TRIBUTARIO'!C143</f>
        <v>10</v>
      </c>
      <c r="D12" s="13" t="str">
        <f>'N TRIBUTARIO'!D143</f>
        <v>79</v>
      </c>
      <c r="E12" s="13" t="str">
        <f>'N TRIBUTARIO'!E143</f>
        <v>001</v>
      </c>
      <c r="F12" s="13">
        <f>'N TRIBUTARIO'!F143</f>
        <v>0</v>
      </c>
      <c r="G12" s="13">
        <f>'N TRIBUTARIO'!G143</f>
        <v>142</v>
      </c>
      <c r="H12" s="13" t="str">
        <f>'N TRIBUTARIO'!H143</f>
        <v>0811</v>
      </c>
      <c r="I12" s="13">
        <f>'N TRIBUTARIO'!I143</f>
        <v>0</v>
      </c>
      <c r="J12" s="13" t="s">
        <v>725</v>
      </c>
      <c r="K12" s="13" t="str">
        <f>'N TRIBUTARIO'!J143</f>
        <v>SAN JUAN TALPA</v>
      </c>
      <c r="L12" s="13" t="str">
        <f>'N TRIBUTARIO'!K143</f>
        <v>OESTE</v>
      </c>
      <c r="M12" s="13" t="str">
        <f>'N TRIBUTARIO'!L143</f>
        <v>LA PAZ</v>
      </c>
      <c r="N12" s="13">
        <f>'N TRIBUTARIO'!M143</f>
        <v>0</v>
      </c>
      <c r="O12" s="13">
        <f>'N TRIBUTARIO'!N143</f>
        <v>0</v>
      </c>
      <c r="P12" s="13">
        <f>'N TRIBUTARIO'!O143</f>
        <v>0</v>
      </c>
      <c r="Q12" s="13">
        <f>'N TRIBUTARIO'!P143</f>
        <v>0</v>
      </c>
      <c r="R12" s="13">
        <f>'N TRIBUTARIO'!Q143</f>
        <v>1</v>
      </c>
      <c r="S12" s="13">
        <f>'N TRIBUTARIO'!R143</f>
        <v>0</v>
      </c>
      <c r="T12" s="13">
        <f>'N TRIBUTARIO'!S143</f>
        <v>0</v>
      </c>
      <c r="U12" s="13" t="str">
        <f>'N TRIBUTARIO'!T143</f>
        <v>-</v>
      </c>
      <c r="V12" s="13" t="str">
        <f>'N TRIBUTARIO'!U143</f>
        <v xml:space="preserve"> </v>
      </c>
      <c r="W12" s="13" t="str">
        <f>'N TRIBUTARIO'!V143</f>
        <v>SAN JUAN TALPA-0811-OESTE</v>
      </c>
      <c r="X12" s="13" t="str">
        <f>'N TRIBUTARIO'!W143</f>
        <v>0811-081079-001-0</v>
      </c>
      <c r="Y12" s="13" t="str">
        <f>'N TRIBUTARIO'!X143</f>
        <v>SAN JUAN TALPA OESTE</v>
      </c>
      <c r="Z12" s="13" t="str">
        <f>'N TRIBUTARIO'!Y143</f>
        <v>0811-081079-001-0 SAN JUAN TALPA OESTE</v>
      </c>
      <c r="AA12" s="13" t="str">
        <f>'N TRIBUTARIO'!Z143</f>
        <v>0811 SAN JUAN TALPA-OESTE</v>
      </c>
      <c r="AB12" s="13">
        <f>'N TRIBUTARIO'!AA143</f>
        <v>0</v>
      </c>
      <c r="AC12" s="13">
        <f>'N TRIBUTARIO'!AB143</f>
        <v>0</v>
      </c>
      <c r="AD12" s="13">
        <f>'N TRIBUTARIO'!AC143</f>
        <v>0</v>
      </c>
    </row>
    <row r="13" spans="1:30" ht="19" customHeight="1" x14ac:dyDescent="0.4">
      <c r="A13" s="13">
        <f>'N TRIBUTARIO'!A144</f>
        <v>0</v>
      </c>
      <c r="B13" s="13" t="str">
        <f>'N TRIBUTARIO'!B144</f>
        <v>08</v>
      </c>
      <c r="C13" s="13" t="str">
        <f>'N TRIBUTARIO'!C144</f>
        <v>10</v>
      </c>
      <c r="D13" s="13" t="str">
        <f>'N TRIBUTARIO'!D144</f>
        <v>79</v>
      </c>
      <c r="E13" s="13" t="str">
        <f>'N TRIBUTARIO'!E144</f>
        <v>001</v>
      </c>
      <c r="F13" s="13">
        <f>'N TRIBUTARIO'!F144</f>
        <v>0</v>
      </c>
      <c r="G13" s="13">
        <f>'N TRIBUTARIO'!G144</f>
        <v>143</v>
      </c>
      <c r="H13" s="13" t="str">
        <f>'N TRIBUTARIO'!H144</f>
        <v>0812</v>
      </c>
      <c r="I13" s="13">
        <f>'N TRIBUTARIO'!I144</f>
        <v>0</v>
      </c>
      <c r="J13" s="13" t="s">
        <v>725</v>
      </c>
      <c r="K13" s="13" t="str">
        <f>'N TRIBUTARIO'!J144</f>
        <v>SAN JUAN TEPEZONTES</v>
      </c>
      <c r="L13" s="13" t="str">
        <f>'N TRIBUTARIO'!K144</f>
        <v>CENTRO</v>
      </c>
      <c r="M13" s="13" t="str">
        <f>'N TRIBUTARIO'!L144</f>
        <v>LA PAZ</v>
      </c>
      <c r="N13" s="13">
        <f>'N TRIBUTARIO'!M144</f>
        <v>1</v>
      </c>
      <c r="O13" s="13">
        <f>'N TRIBUTARIO'!N144</f>
        <v>0</v>
      </c>
      <c r="P13" s="13">
        <f>'N TRIBUTARIO'!O144</f>
        <v>0</v>
      </c>
      <c r="Q13" s="13">
        <f>'N TRIBUTARIO'!P144</f>
        <v>0</v>
      </c>
      <c r="R13" s="13">
        <f>'N TRIBUTARIO'!Q144</f>
        <v>0</v>
      </c>
      <c r="S13" s="13">
        <f>'N TRIBUTARIO'!R144</f>
        <v>0</v>
      </c>
      <c r="T13" s="13">
        <f>'N TRIBUTARIO'!S144</f>
        <v>0</v>
      </c>
      <c r="U13" s="13" t="str">
        <f>'N TRIBUTARIO'!T144</f>
        <v>-</v>
      </c>
      <c r="V13" s="13" t="str">
        <f>'N TRIBUTARIO'!U144</f>
        <v xml:space="preserve"> </v>
      </c>
      <c r="W13" s="13" t="str">
        <f>'N TRIBUTARIO'!V144</f>
        <v>SAN JUAN TEPEZONTES-0812-CENTRO</v>
      </c>
      <c r="X13" s="13" t="str">
        <f>'N TRIBUTARIO'!W144</f>
        <v>0812-081079-001-0</v>
      </c>
      <c r="Y13" s="13" t="str">
        <f>'N TRIBUTARIO'!X144</f>
        <v>SAN JUAN TEPEZONTES CENTRO</v>
      </c>
      <c r="Z13" s="13" t="str">
        <f>'N TRIBUTARIO'!Y144</f>
        <v>0812-081079-001-0 SAN JUAN TEPEZONTES CENTRO</v>
      </c>
      <c r="AA13" s="13" t="str">
        <f>'N TRIBUTARIO'!Z144</f>
        <v>0812 SAN JUAN TEPEZONTES-CENTRO</v>
      </c>
      <c r="AB13" s="13">
        <f>'N TRIBUTARIO'!AA144</f>
        <v>0</v>
      </c>
      <c r="AC13" s="13">
        <f>'N TRIBUTARIO'!AB144</f>
        <v>0</v>
      </c>
      <c r="AD13" s="13">
        <f>'N TRIBUTARIO'!AC144</f>
        <v>0</v>
      </c>
    </row>
    <row r="14" spans="1:30" ht="19" customHeight="1" x14ac:dyDescent="0.4">
      <c r="A14" s="13">
        <f>'N TRIBUTARIO'!A145</f>
        <v>0</v>
      </c>
      <c r="B14" s="13" t="str">
        <f>'N TRIBUTARIO'!B145</f>
        <v>08</v>
      </c>
      <c r="C14" s="13" t="str">
        <f>'N TRIBUTARIO'!C145</f>
        <v>10</v>
      </c>
      <c r="D14" s="13" t="str">
        <f>'N TRIBUTARIO'!D145</f>
        <v>79</v>
      </c>
      <c r="E14" s="13" t="str">
        <f>'N TRIBUTARIO'!E145</f>
        <v>001</v>
      </c>
      <c r="F14" s="13">
        <f>'N TRIBUTARIO'!F145</f>
        <v>0</v>
      </c>
      <c r="G14" s="13">
        <f>'N TRIBUTARIO'!G145</f>
        <v>144</v>
      </c>
      <c r="H14" s="13" t="str">
        <f>'N TRIBUTARIO'!H145</f>
        <v>0813</v>
      </c>
      <c r="I14" s="13">
        <f>'N TRIBUTARIO'!I145</f>
        <v>0</v>
      </c>
      <c r="J14" s="13" t="s">
        <v>725</v>
      </c>
      <c r="K14" s="13" t="str">
        <f>'N TRIBUTARIO'!J145</f>
        <v>SAN LUIS TALPA</v>
      </c>
      <c r="L14" s="13" t="str">
        <f>'N TRIBUTARIO'!K145</f>
        <v>OESTE</v>
      </c>
      <c r="M14" s="13" t="str">
        <f>'N TRIBUTARIO'!L145</f>
        <v>LA PAZ</v>
      </c>
      <c r="N14" s="13">
        <f>'N TRIBUTARIO'!M145</f>
        <v>0</v>
      </c>
      <c r="O14" s="13">
        <f>'N TRIBUTARIO'!N145</f>
        <v>0</v>
      </c>
      <c r="P14" s="13">
        <f>'N TRIBUTARIO'!O145</f>
        <v>0</v>
      </c>
      <c r="Q14" s="13">
        <f>'N TRIBUTARIO'!P145</f>
        <v>0</v>
      </c>
      <c r="R14" s="13">
        <f>'N TRIBUTARIO'!Q145</f>
        <v>1</v>
      </c>
      <c r="S14" s="13">
        <f>'N TRIBUTARIO'!R145</f>
        <v>0</v>
      </c>
      <c r="T14" s="13">
        <f>'N TRIBUTARIO'!S145</f>
        <v>0</v>
      </c>
      <c r="U14" s="13" t="str">
        <f>'N TRIBUTARIO'!T145</f>
        <v>-</v>
      </c>
      <c r="V14" s="13" t="str">
        <f>'N TRIBUTARIO'!U145</f>
        <v xml:space="preserve"> </v>
      </c>
      <c r="W14" s="13" t="str">
        <f>'N TRIBUTARIO'!V145</f>
        <v>SAN LUIS TALPA-0813-OESTE</v>
      </c>
      <c r="X14" s="13" t="str">
        <f>'N TRIBUTARIO'!W145</f>
        <v>0813-081079-001-0</v>
      </c>
      <c r="Y14" s="13" t="str">
        <f>'N TRIBUTARIO'!X145</f>
        <v>SAN LUIS TALPA OESTE</v>
      </c>
      <c r="Z14" s="13" t="str">
        <f>'N TRIBUTARIO'!Y145</f>
        <v>0813-081079-001-0 SAN LUIS TALPA OESTE</v>
      </c>
      <c r="AA14" s="13" t="str">
        <f>'N TRIBUTARIO'!Z145</f>
        <v>0813 SAN LUIS TALPA-OESTE</v>
      </c>
      <c r="AB14" s="13">
        <f>'N TRIBUTARIO'!AA145</f>
        <v>0</v>
      </c>
      <c r="AC14" s="13">
        <f>'N TRIBUTARIO'!AB145</f>
        <v>0</v>
      </c>
      <c r="AD14" s="13">
        <f>'N TRIBUTARIO'!AC145</f>
        <v>0</v>
      </c>
    </row>
    <row r="15" spans="1:30" ht="19" customHeight="1" x14ac:dyDescent="0.4">
      <c r="A15" s="13">
        <f>'N TRIBUTARIO'!A146</f>
        <v>0</v>
      </c>
      <c r="B15" s="13" t="str">
        <f>'N TRIBUTARIO'!B146</f>
        <v>08</v>
      </c>
      <c r="C15" s="13" t="str">
        <f>'N TRIBUTARIO'!C146</f>
        <v>10</v>
      </c>
      <c r="D15" s="13" t="str">
        <f>'N TRIBUTARIO'!D146</f>
        <v>79</v>
      </c>
      <c r="E15" s="13" t="str">
        <f>'N TRIBUTARIO'!E146</f>
        <v>001</v>
      </c>
      <c r="F15" s="13">
        <f>'N TRIBUTARIO'!F146</f>
        <v>0</v>
      </c>
      <c r="G15" s="13">
        <f>'N TRIBUTARIO'!G146</f>
        <v>145</v>
      </c>
      <c r="H15" s="13" t="str">
        <f>'N TRIBUTARIO'!H146</f>
        <v>0814</v>
      </c>
      <c r="I15" s="13">
        <f>'N TRIBUTARIO'!I146</f>
        <v>0</v>
      </c>
      <c r="J15" s="13" t="s">
        <v>725</v>
      </c>
      <c r="K15" s="13" t="str">
        <f>'N TRIBUTARIO'!J146</f>
        <v>SAN MIGUEL TEPEZONTES</v>
      </c>
      <c r="L15" s="13" t="str">
        <f>'N TRIBUTARIO'!K146</f>
        <v>CENTRO</v>
      </c>
      <c r="M15" s="13" t="str">
        <f>'N TRIBUTARIO'!L146</f>
        <v>LA PAZ</v>
      </c>
      <c r="N15" s="13">
        <f>'N TRIBUTARIO'!M146</f>
        <v>1</v>
      </c>
      <c r="O15" s="13">
        <f>'N TRIBUTARIO'!N146</f>
        <v>0</v>
      </c>
      <c r="P15" s="13">
        <f>'N TRIBUTARIO'!O146</f>
        <v>0</v>
      </c>
      <c r="Q15" s="13">
        <f>'N TRIBUTARIO'!P146</f>
        <v>0</v>
      </c>
      <c r="R15" s="13">
        <f>'N TRIBUTARIO'!Q146</f>
        <v>0</v>
      </c>
      <c r="S15" s="13">
        <f>'N TRIBUTARIO'!R146</f>
        <v>0</v>
      </c>
      <c r="T15" s="13">
        <f>'N TRIBUTARIO'!S146</f>
        <v>0</v>
      </c>
      <c r="U15" s="13" t="str">
        <f>'N TRIBUTARIO'!T146</f>
        <v>-</v>
      </c>
      <c r="V15" s="13" t="str">
        <f>'N TRIBUTARIO'!U146</f>
        <v xml:space="preserve"> </v>
      </c>
      <c r="W15" s="13" t="str">
        <f>'N TRIBUTARIO'!V146</f>
        <v>SAN MIGUEL TEPEZONTES-0814-CENTRO</v>
      </c>
      <c r="X15" s="13" t="str">
        <f>'N TRIBUTARIO'!W146</f>
        <v>0814-081079-001-0</v>
      </c>
      <c r="Y15" s="13" t="str">
        <f>'N TRIBUTARIO'!X146</f>
        <v>SAN MIGUEL TEPEZONTES CENTRO</v>
      </c>
      <c r="Z15" s="13" t="str">
        <f>'N TRIBUTARIO'!Y146</f>
        <v>0814-081079-001-0 SAN MIGUEL TEPEZONTES CENTRO</v>
      </c>
      <c r="AA15" s="13" t="str">
        <f>'N TRIBUTARIO'!Z146</f>
        <v>0814 SAN MIGUEL TEPEZONTES-CENTRO</v>
      </c>
      <c r="AB15" s="13">
        <f>'N TRIBUTARIO'!AA146</f>
        <v>0</v>
      </c>
      <c r="AC15" s="13">
        <f>'N TRIBUTARIO'!AB146</f>
        <v>0</v>
      </c>
      <c r="AD15" s="13">
        <f>'N TRIBUTARIO'!AC146</f>
        <v>0</v>
      </c>
    </row>
    <row r="16" spans="1:30" ht="19" customHeight="1" x14ac:dyDescent="0.4">
      <c r="A16" s="13">
        <f>'N TRIBUTARIO'!A147</f>
        <v>0</v>
      </c>
      <c r="B16" s="13" t="str">
        <f>'N TRIBUTARIO'!B147</f>
        <v>08</v>
      </c>
      <c r="C16" s="13" t="str">
        <f>'N TRIBUTARIO'!C147</f>
        <v>10</v>
      </c>
      <c r="D16" s="13" t="str">
        <f>'N TRIBUTARIO'!D147</f>
        <v>79</v>
      </c>
      <c r="E16" s="13" t="str">
        <f>'N TRIBUTARIO'!E147</f>
        <v>001</v>
      </c>
      <c r="F16" s="13">
        <f>'N TRIBUTARIO'!F147</f>
        <v>0</v>
      </c>
      <c r="G16" s="13">
        <f>'N TRIBUTARIO'!G147</f>
        <v>146</v>
      </c>
      <c r="H16" s="13" t="str">
        <f>'N TRIBUTARIO'!H147</f>
        <v>0815</v>
      </c>
      <c r="I16" s="13">
        <f>'N TRIBUTARIO'!I147</f>
        <v>0</v>
      </c>
      <c r="J16" s="13" t="s">
        <v>725</v>
      </c>
      <c r="K16" s="13" t="str">
        <f>'N TRIBUTARIO'!J147</f>
        <v>SAN PEDRO MASAHUAT</v>
      </c>
      <c r="L16" s="13" t="str">
        <f>'N TRIBUTARIO'!K147</f>
        <v>OESTE</v>
      </c>
      <c r="M16" s="13" t="str">
        <f>'N TRIBUTARIO'!L147</f>
        <v>LA PAZ</v>
      </c>
      <c r="N16" s="13">
        <f>'N TRIBUTARIO'!M147</f>
        <v>0</v>
      </c>
      <c r="O16" s="13">
        <f>'N TRIBUTARIO'!N147</f>
        <v>0</v>
      </c>
      <c r="P16" s="13">
        <f>'N TRIBUTARIO'!O147</f>
        <v>0</v>
      </c>
      <c r="Q16" s="13">
        <f>'N TRIBUTARIO'!P147</f>
        <v>0</v>
      </c>
      <c r="R16" s="13">
        <f>'N TRIBUTARIO'!Q147</f>
        <v>1</v>
      </c>
      <c r="S16" s="13">
        <f>'N TRIBUTARIO'!R147</f>
        <v>0</v>
      </c>
      <c r="T16" s="13">
        <f>'N TRIBUTARIO'!S147</f>
        <v>0</v>
      </c>
      <c r="U16" s="13" t="str">
        <f>'N TRIBUTARIO'!T147</f>
        <v>-</v>
      </c>
      <c r="V16" s="13" t="str">
        <f>'N TRIBUTARIO'!U147</f>
        <v xml:space="preserve"> </v>
      </c>
      <c r="W16" s="13" t="str">
        <f>'N TRIBUTARIO'!V147</f>
        <v>SAN PEDRO MASAHUAT-0815-OESTE</v>
      </c>
      <c r="X16" s="13" t="str">
        <f>'N TRIBUTARIO'!W147</f>
        <v>0815-081079-001-0</v>
      </c>
      <c r="Y16" s="13" t="str">
        <f>'N TRIBUTARIO'!X147</f>
        <v>SAN PEDRO MASAHUAT OESTE</v>
      </c>
      <c r="Z16" s="13" t="str">
        <f>'N TRIBUTARIO'!Y147</f>
        <v>0815-081079-001-0 SAN PEDRO MASAHUAT OESTE</v>
      </c>
      <c r="AA16" s="13" t="str">
        <f>'N TRIBUTARIO'!Z147</f>
        <v>0815 SAN PEDRO MASAHUAT-OESTE</v>
      </c>
      <c r="AB16" s="13">
        <f>'N TRIBUTARIO'!AA147</f>
        <v>0</v>
      </c>
      <c r="AC16" s="13">
        <f>'N TRIBUTARIO'!AB147</f>
        <v>0</v>
      </c>
      <c r="AD16" s="13">
        <f>'N TRIBUTARIO'!AC147</f>
        <v>0</v>
      </c>
    </row>
    <row r="17" spans="1:30" ht="19" customHeight="1" x14ac:dyDescent="0.4">
      <c r="A17" s="13">
        <f>'N TRIBUTARIO'!A148</f>
        <v>0</v>
      </c>
      <c r="B17" s="13" t="str">
        <f>'N TRIBUTARIO'!B148</f>
        <v>08</v>
      </c>
      <c r="C17" s="13" t="str">
        <f>'N TRIBUTARIO'!C148</f>
        <v>10</v>
      </c>
      <c r="D17" s="13" t="str">
        <f>'N TRIBUTARIO'!D148</f>
        <v>79</v>
      </c>
      <c r="E17" s="13" t="str">
        <f>'N TRIBUTARIO'!E148</f>
        <v>001</v>
      </c>
      <c r="F17" s="13">
        <f>'N TRIBUTARIO'!F148</f>
        <v>0</v>
      </c>
      <c r="G17" s="13">
        <f>'N TRIBUTARIO'!G148</f>
        <v>147</v>
      </c>
      <c r="H17" s="13" t="str">
        <f>'N TRIBUTARIO'!H148</f>
        <v>0816</v>
      </c>
      <c r="I17" s="13">
        <f>'N TRIBUTARIO'!I148</f>
        <v>0</v>
      </c>
      <c r="J17" s="13" t="s">
        <v>725</v>
      </c>
      <c r="K17" s="13" t="str">
        <f>'N TRIBUTARIO'!J148</f>
        <v>SAN PEDRO NONUALCO</v>
      </c>
      <c r="L17" s="13" t="str">
        <f>'N TRIBUTARIO'!K148</f>
        <v>CENTRO</v>
      </c>
      <c r="M17" s="13" t="str">
        <f>'N TRIBUTARIO'!L148</f>
        <v>LA PAZ</v>
      </c>
      <c r="N17" s="13">
        <f>'N TRIBUTARIO'!M148</f>
        <v>1</v>
      </c>
      <c r="O17" s="13">
        <f>'N TRIBUTARIO'!N148</f>
        <v>0</v>
      </c>
      <c r="P17" s="13">
        <f>'N TRIBUTARIO'!O148</f>
        <v>0</v>
      </c>
      <c r="Q17" s="13">
        <f>'N TRIBUTARIO'!P148</f>
        <v>0</v>
      </c>
      <c r="R17" s="13">
        <f>'N TRIBUTARIO'!Q148</f>
        <v>0</v>
      </c>
      <c r="S17" s="13">
        <f>'N TRIBUTARIO'!R148</f>
        <v>0</v>
      </c>
      <c r="T17" s="13">
        <f>'N TRIBUTARIO'!S148</f>
        <v>0</v>
      </c>
      <c r="U17" s="13" t="str">
        <f>'N TRIBUTARIO'!T148</f>
        <v>-</v>
      </c>
      <c r="V17" s="13" t="str">
        <f>'N TRIBUTARIO'!U148</f>
        <v xml:space="preserve"> </v>
      </c>
      <c r="W17" s="13" t="str">
        <f>'N TRIBUTARIO'!V148</f>
        <v>SAN PEDRO NONUALCO-0816-CENTRO</v>
      </c>
      <c r="X17" s="13" t="str">
        <f>'N TRIBUTARIO'!W148</f>
        <v>0816-081079-001-0</v>
      </c>
      <c r="Y17" s="13" t="str">
        <f>'N TRIBUTARIO'!X148</f>
        <v>SAN PEDRO NONUALCO CENTRO</v>
      </c>
      <c r="Z17" s="13" t="str">
        <f>'N TRIBUTARIO'!Y148</f>
        <v>0816-081079-001-0 SAN PEDRO NONUALCO CENTRO</v>
      </c>
      <c r="AA17" s="13" t="str">
        <f>'N TRIBUTARIO'!Z148</f>
        <v>0816 SAN PEDRO NONUALCO-CENTRO</v>
      </c>
      <c r="AB17" s="13">
        <f>'N TRIBUTARIO'!AA148</f>
        <v>0</v>
      </c>
      <c r="AC17" s="13">
        <f>'N TRIBUTARIO'!AB148</f>
        <v>0</v>
      </c>
      <c r="AD17" s="13">
        <f>'N TRIBUTARIO'!AC148</f>
        <v>0</v>
      </c>
    </row>
    <row r="18" spans="1:30" ht="19" customHeight="1" x14ac:dyDescent="0.4">
      <c r="A18" s="13">
        <f>'N TRIBUTARIO'!A149</f>
        <v>0</v>
      </c>
      <c r="B18" s="13" t="str">
        <f>'N TRIBUTARIO'!B149</f>
        <v>08</v>
      </c>
      <c r="C18" s="13" t="str">
        <f>'N TRIBUTARIO'!C149</f>
        <v>10</v>
      </c>
      <c r="D18" s="13" t="str">
        <f>'N TRIBUTARIO'!D149</f>
        <v>79</v>
      </c>
      <c r="E18" s="13" t="str">
        <f>'N TRIBUTARIO'!E149</f>
        <v>001</v>
      </c>
      <c r="F18" s="13">
        <f>'N TRIBUTARIO'!F149</f>
        <v>0</v>
      </c>
      <c r="G18" s="13">
        <f>'N TRIBUTARIO'!G149</f>
        <v>148</v>
      </c>
      <c r="H18" s="13" t="str">
        <f>'N TRIBUTARIO'!H149</f>
        <v>0817</v>
      </c>
      <c r="I18" s="13">
        <f>'N TRIBUTARIO'!I149</f>
        <v>0</v>
      </c>
      <c r="J18" s="13" t="s">
        <v>725</v>
      </c>
      <c r="K18" s="13" t="str">
        <f>'N TRIBUTARIO'!J149</f>
        <v>SAN RAFAEL OBRAJUELO</v>
      </c>
      <c r="L18" s="13" t="str">
        <f>'N TRIBUTARIO'!K149</f>
        <v>ESTE</v>
      </c>
      <c r="M18" s="13" t="str">
        <f>'N TRIBUTARIO'!L149</f>
        <v>LA PAZ</v>
      </c>
      <c r="N18" s="13">
        <f>'N TRIBUTARIO'!M149</f>
        <v>0</v>
      </c>
      <c r="O18" s="13">
        <f>'N TRIBUTARIO'!N149</f>
        <v>0</v>
      </c>
      <c r="P18" s="13">
        <f>'N TRIBUTARIO'!O149</f>
        <v>1</v>
      </c>
      <c r="Q18" s="13">
        <f>'N TRIBUTARIO'!P149</f>
        <v>0</v>
      </c>
      <c r="R18" s="13">
        <f>'N TRIBUTARIO'!Q149</f>
        <v>0</v>
      </c>
      <c r="S18" s="13">
        <f>'N TRIBUTARIO'!R149</f>
        <v>0</v>
      </c>
      <c r="T18" s="13">
        <f>'N TRIBUTARIO'!S149</f>
        <v>0</v>
      </c>
      <c r="U18" s="13" t="str">
        <f>'N TRIBUTARIO'!T149</f>
        <v>-</v>
      </c>
      <c r="V18" s="13" t="str">
        <f>'N TRIBUTARIO'!U149</f>
        <v xml:space="preserve"> </v>
      </c>
      <c r="W18" s="13" t="str">
        <f>'N TRIBUTARIO'!V149</f>
        <v>SAN RAFAEL OBRAJUELO-0817-ESTE</v>
      </c>
      <c r="X18" s="13" t="str">
        <f>'N TRIBUTARIO'!W149</f>
        <v>0817-081079-001-0</v>
      </c>
      <c r="Y18" s="13" t="str">
        <f>'N TRIBUTARIO'!X149</f>
        <v>SAN RAFAEL OBRAJUELO ESTE</v>
      </c>
      <c r="Z18" s="13" t="str">
        <f>'N TRIBUTARIO'!Y149</f>
        <v>0817-081079-001-0 SAN RAFAEL OBRAJUELO ESTE</v>
      </c>
      <c r="AA18" s="13" t="str">
        <f>'N TRIBUTARIO'!Z149</f>
        <v>0817 SAN RAFAEL OBRAJUELO-ESTE</v>
      </c>
      <c r="AB18" s="13">
        <f>'N TRIBUTARIO'!AA149</f>
        <v>0</v>
      </c>
      <c r="AC18" s="13">
        <f>'N TRIBUTARIO'!AB149</f>
        <v>0</v>
      </c>
      <c r="AD18" s="13">
        <f>'N TRIBUTARIO'!AC149</f>
        <v>0</v>
      </c>
    </row>
    <row r="19" spans="1:30" ht="19" customHeight="1" x14ac:dyDescent="0.4">
      <c r="A19" s="13">
        <f>'N TRIBUTARIO'!A150</f>
        <v>0</v>
      </c>
      <c r="B19" s="13" t="str">
        <f>'N TRIBUTARIO'!B150</f>
        <v>08</v>
      </c>
      <c r="C19" s="13" t="str">
        <f>'N TRIBUTARIO'!C150</f>
        <v>10</v>
      </c>
      <c r="D19" s="13" t="str">
        <f>'N TRIBUTARIO'!D150</f>
        <v>79</v>
      </c>
      <c r="E19" s="13" t="str">
        <f>'N TRIBUTARIO'!E150</f>
        <v>001</v>
      </c>
      <c r="F19" s="13">
        <f>'N TRIBUTARIO'!F150</f>
        <v>0</v>
      </c>
      <c r="G19" s="13">
        <f>'N TRIBUTARIO'!G150</f>
        <v>149</v>
      </c>
      <c r="H19" s="13" t="str">
        <f>'N TRIBUTARIO'!H150</f>
        <v>0818</v>
      </c>
      <c r="I19" s="13">
        <f>'N TRIBUTARIO'!I150</f>
        <v>0</v>
      </c>
      <c r="J19" s="13" t="s">
        <v>725</v>
      </c>
      <c r="K19" s="13" t="str">
        <f>'N TRIBUTARIO'!J150</f>
        <v>SANTA MARIA OSTUMA</v>
      </c>
      <c r="L19" s="13" t="str">
        <f>'N TRIBUTARIO'!K150</f>
        <v>CENTRO</v>
      </c>
      <c r="M19" s="13" t="str">
        <f>'N TRIBUTARIO'!L150</f>
        <v>LA PAZ</v>
      </c>
      <c r="N19" s="13">
        <f>'N TRIBUTARIO'!M150</f>
        <v>1</v>
      </c>
      <c r="O19" s="13">
        <f>'N TRIBUTARIO'!N150</f>
        <v>0</v>
      </c>
      <c r="P19" s="13">
        <f>'N TRIBUTARIO'!O150</f>
        <v>0</v>
      </c>
      <c r="Q19" s="13">
        <f>'N TRIBUTARIO'!P150</f>
        <v>0</v>
      </c>
      <c r="R19" s="13">
        <f>'N TRIBUTARIO'!Q150</f>
        <v>0</v>
      </c>
      <c r="S19" s="13">
        <f>'N TRIBUTARIO'!R150</f>
        <v>0</v>
      </c>
      <c r="T19" s="13">
        <f>'N TRIBUTARIO'!S150</f>
        <v>0</v>
      </c>
      <c r="U19" s="13" t="str">
        <f>'N TRIBUTARIO'!T150</f>
        <v>-</v>
      </c>
      <c r="V19" s="13" t="str">
        <f>'N TRIBUTARIO'!U150</f>
        <v xml:space="preserve"> </v>
      </c>
      <c r="W19" s="13" t="str">
        <f>'N TRIBUTARIO'!V150</f>
        <v>SANTA MARIA OSTUMA-0818-CENTRO</v>
      </c>
      <c r="X19" s="13" t="str">
        <f>'N TRIBUTARIO'!W150</f>
        <v>0818-081079-001-0</v>
      </c>
      <c r="Y19" s="13" t="str">
        <f>'N TRIBUTARIO'!X150</f>
        <v>SANTA MARIA OSTUMA CENTRO</v>
      </c>
      <c r="Z19" s="13" t="str">
        <f>'N TRIBUTARIO'!Y150</f>
        <v>0818-081079-001-0 SANTA MARIA OSTUMA CENTRO</v>
      </c>
      <c r="AA19" s="13" t="str">
        <f>'N TRIBUTARIO'!Z150</f>
        <v>0818 SANTA MARIA OSTUMA-CENTRO</v>
      </c>
      <c r="AB19" s="13">
        <f>'N TRIBUTARIO'!AA150</f>
        <v>0</v>
      </c>
      <c r="AC19" s="13">
        <f>'N TRIBUTARIO'!AB150</f>
        <v>0</v>
      </c>
      <c r="AD19" s="13">
        <f>'N TRIBUTARIO'!AC150</f>
        <v>0</v>
      </c>
    </row>
    <row r="20" spans="1:30" ht="19" customHeight="1" x14ac:dyDescent="0.4">
      <c r="A20" s="13">
        <f>'N TRIBUTARIO'!A151</f>
        <v>0</v>
      </c>
      <c r="B20" s="13" t="str">
        <f>'N TRIBUTARIO'!B151</f>
        <v>08</v>
      </c>
      <c r="C20" s="13" t="str">
        <f>'N TRIBUTARIO'!C151</f>
        <v>10</v>
      </c>
      <c r="D20" s="13" t="str">
        <f>'N TRIBUTARIO'!D151</f>
        <v>79</v>
      </c>
      <c r="E20" s="13" t="str">
        <f>'N TRIBUTARIO'!E151</f>
        <v>001</v>
      </c>
      <c r="F20" s="13">
        <f>'N TRIBUTARIO'!F151</f>
        <v>0</v>
      </c>
      <c r="G20" s="13">
        <f>'N TRIBUTARIO'!G151</f>
        <v>150</v>
      </c>
      <c r="H20" s="13" t="str">
        <f>'N TRIBUTARIO'!H151</f>
        <v>0819</v>
      </c>
      <c r="I20" s="13">
        <f>'N TRIBUTARIO'!I151</f>
        <v>0</v>
      </c>
      <c r="J20" s="13" t="s">
        <v>725</v>
      </c>
      <c r="K20" s="13" t="str">
        <f>'N TRIBUTARIO'!J151</f>
        <v>SANTIAGO NONUALCO</v>
      </c>
      <c r="L20" s="13" t="str">
        <f>'N TRIBUTARIO'!K151</f>
        <v>CENTRO</v>
      </c>
      <c r="M20" s="13" t="str">
        <f>'N TRIBUTARIO'!L151</f>
        <v>LA PAZ</v>
      </c>
      <c r="N20" s="13">
        <f>'N TRIBUTARIO'!M151</f>
        <v>1</v>
      </c>
      <c r="O20" s="13">
        <f>'N TRIBUTARIO'!N151</f>
        <v>0</v>
      </c>
      <c r="P20" s="13">
        <f>'N TRIBUTARIO'!O151</f>
        <v>0</v>
      </c>
      <c r="Q20" s="13">
        <f>'N TRIBUTARIO'!P151</f>
        <v>0</v>
      </c>
      <c r="R20" s="13">
        <f>'N TRIBUTARIO'!Q151</f>
        <v>0</v>
      </c>
      <c r="S20" s="13">
        <f>'N TRIBUTARIO'!R151</f>
        <v>0</v>
      </c>
      <c r="T20" s="13">
        <f>'N TRIBUTARIO'!S151</f>
        <v>0</v>
      </c>
      <c r="U20" s="13" t="str">
        <f>'N TRIBUTARIO'!T151</f>
        <v>-</v>
      </c>
      <c r="V20" s="13" t="str">
        <f>'N TRIBUTARIO'!U151</f>
        <v xml:space="preserve"> </v>
      </c>
      <c r="W20" s="13" t="str">
        <f>'N TRIBUTARIO'!V151</f>
        <v>SANTIAGO NONUALCO-0819-CENTRO</v>
      </c>
      <c r="X20" s="13" t="str">
        <f>'N TRIBUTARIO'!W151</f>
        <v>0819-081079-001-0</v>
      </c>
      <c r="Y20" s="13" t="str">
        <f>'N TRIBUTARIO'!X151</f>
        <v>SANTIAGO NONUALCO CENTRO</v>
      </c>
      <c r="Z20" s="13" t="str">
        <f>'N TRIBUTARIO'!Y151</f>
        <v>0819-081079-001-0 SANTIAGO NONUALCO CENTRO</v>
      </c>
      <c r="AA20" s="13" t="str">
        <f>'N TRIBUTARIO'!Z151</f>
        <v>0819 SANTIAGO NONUALCO-CENTRO</v>
      </c>
      <c r="AB20" s="13">
        <f>'N TRIBUTARIO'!AA151</f>
        <v>0</v>
      </c>
      <c r="AC20" s="13">
        <f>'N TRIBUTARIO'!AB151</f>
        <v>0</v>
      </c>
      <c r="AD20" s="13">
        <f>'N TRIBUTARIO'!AC151</f>
        <v>0</v>
      </c>
    </row>
    <row r="21" spans="1:30" ht="19" customHeight="1" x14ac:dyDescent="0.4">
      <c r="A21" s="13">
        <f>'N TRIBUTARIO'!A152</f>
        <v>0</v>
      </c>
      <c r="B21" s="13" t="str">
        <f>'N TRIBUTARIO'!B152</f>
        <v>20</v>
      </c>
      <c r="C21" s="13" t="str">
        <f>'N TRIBUTARIO'!C152</f>
        <v>03</v>
      </c>
      <c r="D21" s="13" t="str">
        <f>'N TRIBUTARIO'!D152</f>
        <v>16</v>
      </c>
      <c r="E21" s="13" t="str">
        <f>'N TRIBUTARIO'!E152</f>
        <v>001</v>
      </c>
      <c r="F21" s="13">
        <f>'N TRIBUTARIO'!F152</f>
        <v>4</v>
      </c>
      <c r="G21" s="13">
        <f>'N TRIBUTARIO'!G152</f>
        <v>151</v>
      </c>
      <c r="H21" s="13" t="str">
        <f>'N TRIBUTARIO'!H152</f>
        <v>0820</v>
      </c>
      <c r="I21" s="13">
        <f>'N TRIBUTARIO'!I152</f>
        <v>0</v>
      </c>
      <c r="J21" s="13" t="s">
        <v>725</v>
      </c>
      <c r="K21" s="13" t="str">
        <f>'N TRIBUTARIO'!J152</f>
        <v>TAPALHUACA</v>
      </c>
      <c r="L21" s="13" t="str">
        <f>'N TRIBUTARIO'!K152</f>
        <v>OESTE</v>
      </c>
      <c r="M21" s="13" t="str">
        <f>'N TRIBUTARIO'!L152</f>
        <v>LA PAZ</v>
      </c>
      <c r="N21" s="13">
        <f>'N TRIBUTARIO'!M152</f>
        <v>0</v>
      </c>
      <c r="O21" s="13">
        <f>'N TRIBUTARIO'!N152</f>
        <v>0</v>
      </c>
      <c r="P21" s="13">
        <f>'N TRIBUTARIO'!O152</f>
        <v>0</v>
      </c>
      <c r="Q21" s="13">
        <f>'N TRIBUTARIO'!P152</f>
        <v>0</v>
      </c>
      <c r="R21" s="13">
        <f>'N TRIBUTARIO'!Q152</f>
        <v>1</v>
      </c>
      <c r="S21" s="13">
        <f>'N TRIBUTARIO'!R152</f>
        <v>0</v>
      </c>
      <c r="T21" s="13">
        <f>'N TRIBUTARIO'!S152</f>
        <v>0</v>
      </c>
      <c r="U21" s="13" t="str">
        <f>'N TRIBUTARIO'!T152</f>
        <v>-</v>
      </c>
      <c r="V21" s="13" t="str">
        <f>'N TRIBUTARIO'!U152</f>
        <v xml:space="preserve"> </v>
      </c>
      <c r="W21" s="13" t="str">
        <f>'N TRIBUTARIO'!V152</f>
        <v>TAPALHUACA-0820-OESTE</v>
      </c>
      <c r="X21" s="13" t="str">
        <f>'N TRIBUTARIO'!W152</f>
        <v>0820-200316-001-4</v>
      </c>
      <c r="Y21" s="13" t="str">
        <f>'N TRIBUTARIO'!X152</f>
        <v>TAPALHUACA OESTE</v>
      </c>
      <c r="Z21" s="13" t="str">
        <f>'N TRIBUTARIO'!Y152</f>
        <v>0820-200316-001-4 TAPALHUACA OESTE</v>
      </c>
      <c r="AA21" s="13" t="str">
        <f>'N TRIBUTARIO'!Z152</f>
        <v>0820 TAPALHUACA-OESTE</v>
      </c>
      <c r="AB21" s="13">
        <f>'N TRIBUTARIO'!AA152</f>
        <v>0</v>
      </c>
      <c r="AC21" s="13">
        <f>'N TRIBUTARIO'!AB152</f>
        <v>0</v>
      </c>
      <c r="AD21" s="13">
        <f>'N TRIBUTARIO'!AC152</f>
        <v>0</v>
      </c>
    </row>
    <row r="22" spans="1:30" ht="19" customHeight="1" x14ac:dyDescent="0.4">
      <c r="A22" s="13">
        <f>'N TRIBUTARIO'!A153</f>
        <v>0</v>
      </c>
      <c r="B22" s="13" t="str">
        <f>'N TRIBUTARIO'!B153</f>
        <v>01</v>
      </c>
      <c r="C22" s="13" t="str">
        <f>'N TRIBUTARIO'!C153</f>
        <v>06</v>
      </c>
      <c r="D22" s="13" t="str">
        <f>'N TRIBUTARIO'!D153</f>
        <v>11</v>
      </c>
      <c r="E22" s="13" t="str">
        <f>'N TRIBUTARIO'!E153</f>
        <v>001</v>
      </c>
      <c r="F22" s="13">
        <f>'N TRIBUTARIO'!F153</f>
        <v>5</v>
      </c>
      <c r="G22" s="13">
        <f>'N TRIBUTARIO'!G153</f>
        <v>152</v>
      </c>
      <c r="H22" s="13" t="str">
        <f>'N TRIBUTARIO'!H153</f>
        <v>0821</v>
      </c>
      <c r="I22" s="13">
        <f>'N TRIBUTARIO'!I153</f>
        <v>8</v>
      </c>
      <c r="J22" s="13" t="s">
        <v>725</v>
      </c>
      <c r="K22" s="13" t="str">
        <f>'N TRIBUTARIO'!J153</f>
        <v>ZACATECOLUCA</v>
      </c>
      <c r="L22" s="13" t="str">
        <f>'N TRIBUTARIO'!K153</f>
        <v>ESTE</v>
      </c>
      <c r="M22" s="13" t="str">
        <f>'N TRIBUTARIO'!L153</f>
        <v>LA PAZ</v>
      </c>
      <c r="N22" s="13">
        <f>'N TRIBUTARIO'!M153</f>
        <v>0</v>
      </c>
      <c r="O22" s="13">
        <f>'N TRIBUTARIO'!N153</f>
        <v>0</v>
      </c>
      <c r="P22" s="13">
        <f>'N TRIBUTARIO'!O153</f>
        <v>1</v>
      </c>
      <c r="Q22" s="13">
        <f>'N TRIBUTARIO'!P153</f>
        <v>0</v>
      </c>
      <c r="R22" s="13">
        <f>'N TRIBUTARIO'!Q153</f>
        <v>0</v>
      </c>
      <c r="S22" s="13">
        <f>'N TRIBUTARIO'!R153</f>
        <v>0</v>
      </c>
      <c r="T22" s="13">
        <f>'N TRIBUTARIO'!S153</f>
        <v>0</v>
      </c>
      <c r="U22" s="13" t="str">
        <f>'N TRIBUTARIO'!T153</f>
        <v>-</v>
      </c>
      <c r="V22" s="13" t="str">
        <f>'N TRIBUTARIO'!U153</f>
        <v xml:space="preserve"> </v>
      </c>
      <c r="W22" s="13" t="str">
        <f>'N TRIBUTARIO'!V153</f>
        <v>ZACATECOLUCA-0821-ESTE</v>
      </c>
      <c r="X22" s="13" t="str">
        <f>'N TRIBUTARIO'!W153</f>
        <v>0821-010611-001-5</v>
      </c>
      <c r="Y22" s="13" t="str">
        <f>'N TRIBUTARIO'!X153</f>
        <v>ZACATECOLUCA ESTE</v>
      </c>
      <c r="Z22" s="13" t="str">
        <f>'N TRIBUTARIO'!Y153</f>
        <v>0821-010611-001-5 ZACATECOLUCA ESTE</v>
      </c>
      <c r="AA22" s="13" t="str">
        <f>'N TRIBUTARIO'!Z153</f>
        <v>0821 ZACATECOLUCA-ESTE</v>
      </c>
      <c r="AB22" s="13">
        <f>'N TRIBUTARIO'!AA153</f>
        <v>0</v>
      </c>
      <c r="AC22" s="13">
        <f>'N TRIBUTARIO'!AB153</f>
        <v>0</v>
      </c>
      <c r="AD22" s="13">
        <f>'N TRIBUTARIO'!AC153</f>
        <v>0</v>
      </c>
    </row>
    <row r="23" spans="1:30" ht="19" customHeight="1" x14ac:dyDescent="0.4">
      <c r="A23" s="13">
        <f>'N TRIBUTARIO'!A154</f>
        <v>0</v>
      </c>
      <c r="B23" s="13" t="str">
        <f>'N TRIBUTARIO'!B154</f>
        <v>27</v>
      </c>
      <c r="C23" s="13" t="str">
        <f>'N TRIBUTARIO'!C154</f>
        <v>10</v>
      </c>
      <c r="D23" s="13" t="str">
        <f>'N TRIBUTARIO'!D154</f>
        <v>84</v>
      </c>
      <c r="E23" s="13" t="str">
        <f>'N TRIBUTARIO'!E154</f>
        <v>001</v>
      </c>
      <c r="F23" s="13">
        <f>'N TRIBUTARIO'!F154</f>
        <v>4</v>
      </c>
      <c r="G23" s="13">
        <f>'N TRIBUTARIO'!G154</f>
        <v>153</v>
      </c>
      <c r="H23" s="13" t="str">
        <f>'N TRIBUTARIO'!H154</f>
        <v>0822</v>
      </c>
      <c r="I23" s="13">
        <f>'N TRIBUTARIO'!I154</f>
        <v>0</v>
      </c>
      <c r="J23" s="13" t="s">
        <v>725</v>
      </c>
      <c r="K23" s="13" t="str">
        <f>'N TRIBUTARIO'!J154</f>
        <v>SAN LUIS LA HERRADURA</v>
      </c>
      <c r="L23" s="13" t="str">
        <f>'N TRIBUTARIO'!K154</f>
        <v>CENTRO</v>
      </c>
      <c r="M23" s="13" t="str">
        <f>'N TRIBUTARIO'!L154</f>
        <v>LA PAZ</v>
      </c>
      <c r="N23" s="13">
        <f>'N TRIBUTARIO'!M154</f>
        <v>1</v>
      </c>
      <c r="O23" s="13">
        <f>'N TRIBUTARIO'!N154</f>
        <v>0</v>
      </c>
      <c r="P23" s="13">
        <f>'N TRIBUTARIO'!O154</f>
        <v>0</v>
      </c>
      <c r="Q23" s="13">
        <f>'N TRIBUTARIO'!P154</f>
        <v>0</v>
      </c>
      <c r="R23" s="13">
        <f>'N TRIBUTARIO'!Q154</f>
        <v>0</v>
      </c>
      <c r="S23" s="13">
        <f>'N TRIBUTARIO'!R154</f>
        <v>0</v>
      </c>
      <c r="T23" s="13">
        <f>'N TRIBUTARIO'!S154</f>
        <v>0</v>
      </c>
      <c r="U23" s="13" t="str">
        <f>'N TRIBUTARIO'!T154</f>
        <v>-</v>
      </c>
      <c r="V23" s="13" t="str">
        <f>'N TRIBUTARIO'!U154</f>
        <v xml:space="preserve"> </v>
      </c>
      <c r="W23" s="13" t="str">
        <f>'N TRIBUTARIO'!V154</f>
        <v>SAN LUIS LA HERRADURA-0822-CENTRO</v>
      </c>
      <c r="X23" s="13" t="str">
        <f>'N TRIBUTARIO'!W154</f>
        <v>0822-271084-001-4</v>
      </c>
      <c r="Y23" s="13" t="str">
        <f>'N TRIBUTARIO'!X154</f>
        <v>SAN LUIS LA HERRADURA CENTRO</v>
      </c>
      <c r="Z23" s="13" t="str">
        <f>'N TRIBUTARIO'!Y154</f>
        <v>0822-271084-001-4 SAN LUIS LA HERRADURA CENTRO</v>
      </c>
      <c r="AA23" s="13" t="str">
        <f>'N TRIBUTARIO'!Z154</f>
        <v>0822 SAN LUIS LA HERRADURA-CENTRO</v>
      </c>
      <c r="AB23" s="13">
        <f>'N TRIBUTARIO'!AA154</f>
        <v>0</v>
      </c>
      <c r="AC23" s="13">
        <f>'N TRIBUTARIO'!AB154</f>
        <v>0</v>
      </c>
      <c r="AD23" s="13">
        <f>'N TRIBUTARIO'!AC154</f>
        <v>0</v>
      </c>
    </row>
    <row r="24" spans="1:30" ht="19" customHeight="1" x14ac:dyDescent="0.4">
      <c r="N24" s="1">
        <f>SUM(N2:N23)</f>
        <v>12</v>
      </c>
      <c r="O24" s="1">
        <f t="shared" ref="O24:T24" si="0">SUM(O2:O23)</f>
        <v>0</v>
      </c>
      <c r="P24" s="1">
        <f t="shared" si="0"/>
        <v>3</v>
      </c>
      <c r="Q24" s="1">
        <f t="shared" si="0"/>
        <v>0</v>
      </c>
      <c r="R24" s="1">
        <f t="shared" si="0"/>
        <v>7</v>
      </c>
      <c r="S24" s="1">
        <f t="shared" si="0"/>
        <v>0</v>
      </c>
      <c r="T24" s="1">
        <f t="shared" si="0"/>
        <v>0</v>
      </c>
    </row>
    <row r="25" spans="1:30" ht="19" customHeight="1" x14ac:dyDescent="0.4">
      <c r="J25" s="1" t="str">
        <f>N1</f>
        <v>CENTRO</v>
      </c>
      <c r="K25" s="1" t="str">
        <f>CONCATENATE(K3,J3,K4,J4,K5,J5,K7,J7,K8,J8,K9,J9,K13,J13,K15,J15,K17,J17,K19,J19,K20,J20,K23)</f>
        <v>EL ROSARIO, JERUSALEN, MERCEDES LA CEIBA, PARAISO DE OSORIO, SAN ANTONIO MASAHUAT, SAN EMIGDIO, SAN JUAN TEPEZONTES, SAN MIGUEL TEPEZONTES, SAN PEDRO NONUALCO, SANTA MARIA OSTUMA, SANTIAGO NONUALCO, SAN LUIS LA HERRADURA</v>
      </c>
    </row>
    <row r="26" spans="1:30" ht="19" customHeight="1" x14ac:dyDescent="0.4">
      <c r="J26" s="1" t="str">
        <f>P1</f>
        <v>ESTE</v>
      </c>
      <c r="K26" s="1" t="str">
        <f>CONCATENATE(K11,J11,K18,J18,K22)</f>
        <v>SAN JUAN NONUALCO, SAN RAFAEL OBRAJUELO, ZACATECOLUCA</v>
      </c>
    </row>
    <row r="27" spans="1:30" ht="19" customHeight="1" x14ac:dyDescent="0.4">
      <c r="J27" s="1" t="str">
        <f>R1</f>
        <v>OESTE</v>
      </c>
      <c r="K27" s="1" t="str">
        <f>CONCATENATE(K2,J2,K6,J6,K10,J10,K12,J12,K14,J14,K16,J16,K21)</f>
        <v>CUYULTITAN, OLOCUILTA, SAN FRANCISCO CHINAMECA, SAN JUAN TALPA, SAN LUIS TALPA, SAN PEDRO MASAHUAT, TAPALHUACA</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1FDE-0019-497F-A40A-4DF1FB802D7B}">
  <sheetPr codeName="Hoja16"/>
  <dimension ref="A1:AD14"/>
  <sheetViews>
    <sheetView showZeros="0"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2" t="str">
        <f>'N TRIBUTARIO'!A155</f>
        <v>O1</v>
      </c>
      <c r="B2" s="12" t="str">
        <f>'N TRIBUTARIO'!B155</f>
        <v>13</v>
      </c>
      <c r="C2" s="12" t="str">
        <f>'N TRIBUTARIO'!C155</f>
        <v>05</v>
      </c>
      <c r="D2" s="12" t="str">
        <f>'N TRIBUTARIO'!D155</f>
        <v>47</v>
      </c>
      <c r="E2" s="12" t="str">
        <f>'N TRIBUTARIO'!E155</f>
        <v>001</v>
      </c>
      <c r="F2" s="12">
        <f>'N TRIBUTARIO'!F155</f>
        <v>6</v>
      </c>
      <c r="G2" s="12">
        <f>'N TRIBUTARIO'!G155</f>
        <v>154</v>
      </c>
      <c r="H2" s="12" t="str">
        <f>'N TRIBUTARIO'!H155</f>
        <v>0901</v>
      </c>
      <c r="I2" s="12">
        <f>'N TRIBUTARIO'!I155</f>
        <v>0</v>
      </c>
      <c r="J2" s="12" t="s">
        <v>725</v>
      </c>
      <c r="K2" s="12" t="str">
        <f>'N TRIBUTARIO'!J155</f>
        <v>CINQUERA</v>
      </c>
      <c r="L2" s="12" t="str">
        <f>'N TRIBUTARIO'!K155</f>
        <v>OESTE</v>
      </c>
      <c r="M2" s="12" t="str">
        <f>'N TRIBUTARIO'!L155</f>
        <v>CABAÑAS</v>
      </c>
      <c r="N2" s="12">
        <f>'N TRIBUTARIO'!M155</f>
        <v>0</v>
      </c>
      <c r="O2" s="12">
        <f>'N TRIBUTARIO'!N155</f>
        <v>0</v>
      </c>
      <c r="P2" s="12">
        <f>'N TRIBUTARIO'!O155</f>
        <v>0</v>
      </c>
      <c r="Q2" s="12">
        <f>'N TRIBUTARIO'!P155</f>
        <v>0</v>
      </c>
      <c r="R2" s="12">
        <f>'N TRIBUTARIO'!Q155</f>
        <v>1</v>
      </c>
      <c r="S2" s="12">
        <f>'N TRIBUTARIO'!R155</f>
        <v>0</v>
      </c>
      <c r="T2" s="12">
        <f>'N TRIBUTARIO'!S155</f>
        <v>0</v>
      </c>
      <c r="U2" s="12" t="str">
        <f>'N TRIBUTARIO'!T155</f>
        <v>-</v>
      </c>
      <c r="V2" s="12" t="str">
        <f>'N TRIBUTARIO'!U155</f>
        <v xml:space="preserve"> </v>
      </c>
      <c r="W2" s="12" t="str">
        <f>'N TRIBUTARIO'!V155</f>
        <v>CINQUERA-0901-OESTE</v>
      </c>
      <c r="X2" s="12" t="str">
        <f>'N TRIBUTARIO'!W155</f>
        <v>0901-130547-001-6</v>
      </c>
      <c r="Y2" s="12" t="str">
        <f>'N TRIBUTARIO'!X155</f>
        <v>CINQUERA OESTE</v>
      </c>
      <c r="Z2" s="12" t="str">
        <f>'N TRIBUTARIO'!Y155</f>
        <v>0901-130547-001-6 CINQUERA OESTE</v>
      </c>
      <c r="AA2" s="12" t="str">
        <f>'N TRIBUTARIO'!Z155</f>
        <v>0901 CINQUERA-OESTE</v>
      </c>
      <c r="AB2" s="12">
        <f>'N TRIBUTARIO'!AA155</f>
        <v>401.84</v>
      </c>
      <c r="AC2" s="12">
        <f>'N TRIBUTARIO'!AB155</f>
        <v>86875</v>
      </c>
      <c r="AD2" s="12">
        <f>'N TRIBUTARIO'!AC155</f>
        <v>216.19</v>
      </c>
    </row>
    <row r="3" spans="1:30" ht="19" customHeight="1" x14ac:dyDescent="0.4">
      <c r="A3" s="12" t="str">
        <f>'N TRIBUTARIO'!A156</f>
        <v>E1</v>
      </c>
      <c r="B3" s="12" t="str">
        <f>'N TRIBUTARIO'!B156</f>
        <v>10</v>
      </c>
      <c r="C3" s="12" t="str">
        <f>'N TRIBUTARIO'!C156</f>
        <v>02</v>
      </c>
      <c r="D3" s="12" t="str">
        <f>'N TRIBUTARIO'!D156</f>
        <v>73</v>
      </c>
      <c r="E3" s="12" t="str">
        <f>'N TRIBUTARIO'!E156</f>
        <v>001</v>
      </c>
      <c r="F3" s="12">
        <f>'N TRIBUTARIO'!F156</f>
        <v>0</v>
      </c>
      <c r="G3" s="12">
        <f>'N TRIBUTARIO'!G156</f>
        <v>155</v>
      </c>
      <c r="H3" s="12" t="str">
        <f>'N TRIBUTARIO'!H156</f>
        <v>0902</v>
      </c>
      <c r="I3" s="12">
        <f>'N TRIBUTARIO'!I156</f>
        <v>0</v>
      </c>
      <c r="J3" s="12" t="s">
        <v>725</v>
      </c>
      <c r="K3" s="12" t="str">
        <f>'N TRIBUTARIO'!J156</f>
        <v>GUACOTECTI</v>
      </c>
      <c r="L3" s="12" t="str">
        <f>'N TRIBUTARIO'!K156</f>
        <v>ESTE</v>
      </c>
      <c r="M3" s="12" t="str">
        <f>'N TRIBUTARIO'!L156</f>
        <v>CABAÑAS</v>
      </c>
      <c r="N3" s="12">
        <f>'N TRIBUTARIO'!M156</f>
        <v>0</v>
      </c>
      <c r="O3" s="12">
        <f>'N TRIBUTARIO'!N156</f>
        <v>0</v>
      </c>
      <c r="P3" s="12">
        <f>'N TRIBUTARIO'!O156</f>
        <v>1</v>
      </c>
      <c r="Q3" s="12">
        <f>'N TRIBUTARIO'!P156</f>
        <v>0</v>
      </c>
      <c r="R3" s="12">
        <f>'N TRIBUTARIO'!Q156</f>
        <v>0</v>
      </c>
      <c r="S3" s="12">
        <f>'N TRIBUTARIO'!R156</f>
        <v>0</v>
      </c>
      <c r="T3" s="12">
        <f>'N TRIBUTARIO'!S156</f>
        <v>0</v>
      </c>
      <c r="U3" s="12" t="str">
        <f>'N TRIBUTARIO'!T156</f>
        <v>-</v>
      </c>
      <c r="V3" s="12" t="str">
        <f>'N TRIBUTARIO'!U156</f>
        <v xml:space="preserve"> </v>
      </c>
      <c r="W3" s="12" t="str">
        <f>'N TRIBUTARIO'!V156</f>
        <v>GUACOTECTI-0902-ESTE</v>
      </c>
      <c r="X3" s="12" t="str">
        <f>'N TRIBUTARIO'!W156</f>
        <v>0902-100273-001-0</v>
      </c>
      <c r="Y3" s="12" t="str">
        <f>'N TRIBUTARIO'!X156</f>
        <v>GUACOTECTI ESTE</v>
      </c>
      <c r="Z3" s="12" t="str">
        <f>'N TRIBUTARIO'!Y156</f>
        <v>0902-100273-001-0 GUACOTECTI ESTE</v>
      </c>
      <c r="AA3" s="12" t="str">
        <f>'N TRIBUTARIO'!Z156</f>
        <v>0902 GUACOTECTI-ESTE</v>
      </c>
      <c r="AB3" s="12">
        <f>'N TRIBUTARIO'!AA156</f>
        <v>701.67</v>
      </c>
      <c r="AC3" s="12">
        <f>'N TRIBUTARIO'!AB156</f>
        <v>66727</v>
      </c>
      <c r="AD3" s="12">
        <f>'N TRIBUTARIO'!AC156</f>
        <v>95.1</v>
      </c>
    </row>
    <row r="4" spans="1:30" ht="19" customHeight="1" x14ac:dyDescent="0.4">
      <c r="A4" s="12">
        <f>'N TRIBUTARIO'!A157</f>
        <v>0</v>
      </c>
      <c r="B4" s="12" t="str">
        <f>'N TRIBUTARIO'!B157</f>
        <v>06</v>
      </c>
      <c r="C4" s="12" t="str">
        <f>'N TRIBUTARIO'!C157</f>
        <v>09</v>
      </c>
      <c r="D4" s="12" t="str">
        <f>'N TRIBUTARIO'!D157</f>
        <v>79</v>
      </c>
      <c r="E4" s="12" t="str">
        <f>'N TRIBUTARIO'!E157</f>
        <v>001</v>
      </c>
      <c r="F4" s="12">
        <f>'N TRIBUTARIO'!F157</f>
        <v>4</v>
      </c>
      <c r="G4" s="12">
        <f>'N TRIBUTARIO'!G157</f>
        <v>156</v>
      </c>
      <c r="H4" s="12" t="str">
        <f>'N TRIBUTARIO'!H157</f>
        <v>0903</v>
      </c>
      <c r="I4" s="12">
        <f>'N TRIBUTARIO'!I157</f>
        <v>0</v>
      </c>
      <c r="J4" s="12" t="s">
        <v>725</v>
      </c>
      <c r="K4" s="12" t="str">
        <f>'N TRIBUTARIO'!J157</f>
        <v>ILOBASCO</v>
      </c>
      <c r="L4" s="12" t="str">
        <f>'N TRIBUTARIO'!K157</f>
        <v>OESTE</v>
      </c>
      <c r="M4" s="12" t="str">
        <f>'N TRIBUTARIO'!L157</f>
        <v>CABAÑAS</v>
      </c>
      <c r="N4" s="12">
        <f>'N TRIBUTARIO'!M157</f>
        <v>0</v>
      </c>
      <c r="O4" s="12">
        <f>'N TRIBUTARIO'!N157</f>
        <v>0</v>
      </c>
      <c r="P4" s="12">
        <f>'N TRIBUTARIO'!O157</f>
        <v>0</v>
      </c>
      <c r="Q4" s="12">
        <f>'N TRIBUTARIO'!P157</f>
        <v>0</v>
      </c>
      <c r="R4" s="12">
        <f>'N TRIBUTARIO'!Q157</f>
        <v>1</v>
      </c>
      <c r="S4" s="12">
        <f>'N TRIBUTARIO'!R157</f>
        <v>0</v>
      </c>
      <c r="T4" s="12">
        <f>'N TRIBUTARIO'!S157</f>
        <v>0</v>
      </c>
      <c r="U4" s="12" t="str">
        <f>'N TRIBUTARIO'!T157</f>
        <v>-</v>
      </c>
      <c r="V4" s="12" t="str">
        <f>'N TRIBUTARIO'!U157</f>
        <v xml:space="preserve"> </v>
      </c>
      <c r="W4" s="12" t="str">
        <f>'N TRIBUTARIO'!V157</f>
        <v>ILOBASCO-0903-OESTE</v>
      </c>
      <c r="X4" s="12" t="str">
        <f>'N TRIBUTARIO'!W157</f>
        <v>0903-060979-001-4</v>
      </c>
      <c r="Y4" s="12" t="str">
        <f>'N TRIBUTARIO'!X157</f>
        <v>ILOBASCO OESTE</v>
      </c>
      <c r="Z4" s="12" t="str">
        <f>'N TRIBUTARIO'!Y157</f>
        <v>0903-060979-001-4 ILOBASCO OESTE</v>
      </c>
      <c r="AA4" s="12" t="str">
        <f>'N TRIBUTARIO'!Z157</f>
        <v>0903 ILOBASCO-OESTE</v>
      </c>
      <c r="AB4" s="12">
        <f>'N TRIBUTARIO'!AA157</f>
        <v>0</v>
      </c>
      <c r="AC4" s="12">
        <f>'N TRIBUTARIO'!AB157</f>
        <v>0</v>
      </c>
      <c r="AD4" s="12">
        <f>'N TRIBUTARIO'!AC157</f>
        <v>0</v>
      </c>
    </row>
    <row r="5" spans="1:30" ht="19" customHeight="1" x14ac:dyDescent="0.4">
      <c r="A5" s="12">
        <f>'N TRIBUTARIO'!A158</f>
        <v>0</v>
      </c>
      <c r="B5" s="12" t="str">
        <f>'N TRIBUTARIO'!B158</f>
        <v>09</v>
      </c>
      <c r="C5" s="12" t="str">
        <f>'N TRIBUTARIO'!C158</f>
        <v>10</v>
      </c>
      <c r="D5" s="12" t="str">
        <f>'N TRIBUTARIO'!D158</f>
        <v>79</v>
      </c>
      <c r="E5" s="12" t="str">
        <f>'N TRIBUTARIO'!E158</f>
        <v>001</v>
      </c>
      <c r="F5" s="12">
        <f>'N TRIBUTARIO'!F158</f>
        <v>9</v>
      </c>
      <c r="G5" s="12">
        <f>'N TRIBUTARIO'!G158</f>
        <v>157</v>
      </c>
      <c r="H5" s="12" t="str">
        <f>'N TRIBUTARIO'!H158</f>
        <v>0904</v>
      </c>
      <c r="I5" s="12">
        <f>'N TRIBUTARIO'!I158</f>
        <v>0</v>
      </c>
      <c r="J5" s="12" t="s">
        <v>725</v>
      </c>
      <c r="K5" s="12" t="str">
        <f>'N TRIBUTARIO'!J158</f>
        <v>JUTIAPA</v>
      </c>
      <c r="L5" s="12" t="str">
        <f>'N TRIBUTARIO'!K158</f>
        <v>OESTE</v>
      </c>
      <c r="M5" s="12" t="str">
        <f>'N TRIBUTARIO'!L158</f>
        <v>CABAÑAS</v>
      </c>
      <c r="N5" s="12">
        <f>'N TRIBUTARIO'!M158</f>
        <v>0</v>
      </c>
      <c r="O5" s="12">
        <f>'N TRIBUTARIO'!N158</f>
        <v>0</v>
      </c>
      <c r="P5" s="12">
        <f>'N TRIBUTARIO'!O158</f>
        <v>0</v>
      </c>
      <c r="Q5" s="12">
        <f>'N TRIBUTARIO'!P158</f>
        <v>0</v>
      </c>
      <c r="R5" s="12">
        <f>'N TRIBUTARIO'!Q158</f>
        <v>1</v>
      </c>
      <c r="S5" s="12">
        <f>'N TRIBUTARIO'!R158</f>
        <v>0</v>
      </c>
      <c r="T5" s="12">
        <f>'N TRIBUTARIO'!S158</f>
        <v>0</v>
      </c>
      <c r="U5" s="12" t="str">
        <f>'N TRIBUTARIO'!T158</f>
        <v>-</v>
      </c>
      <c r="V5" s="12" t="str">
        <f>'N TRIBUTARIO'!U158</f>
        <v xml:space="preserve"> </v>
      </c>
      <c r="W5" s="12" t="str">
        <f>'N TRIBUTARIO'!V158</f>
        <v>JUTIAPA-0904-OESTE</v>
      </c>
      <c r="X5" s="12" t="str">
        <f>'N TRIBUTARIO'!W158</f>
        <v>0904-091079-001-9</v>
      </c>
      <c r="Y5" s="12" t="str">
        <f>'N TRIBUTARIO'!X158</f>
        <v>JUTIAPA OESTE</v>
      </c>
      <c r="Z5" s="12" t="str">
        <f>'N TRIBUTARIO'!Y158</f>
        <v>0904-091079-001-9 JUTIAPA OESTE</v>
      </c>
      <c r="AA5" s="12" t="str">
        <f>'N TRIBUTARIO'!Z158</f>
        <v>0904 JUTIAPA-OESTE</v>
      </c>
      <c r="AB5" s="12">
        <f>'N TRIBUTARIO'!AA158</f>
        <v>0</v>
      </c>
      <c r="AC5" s="12">
        <f>'N TRIBUTARIO'!AB158</f>
        <v>0</v>
      </c>
      <c r="AD5" s="12">
        <f>'N TRIBUTARIO'!AC158</f>
        <v>0</v>
      </c>
    </row>
    <row r="6" spans="1:30" ht="19" customHeight="1" x14ac:dyDescent="0.4">
      <c r="A6" s="12">
        <f>'N TRIBUTARIO'!A159</f>
        <v>0</v>
      </c>
      <c r="B6" s="12" t="str">
        <f>'N TRIBUTARIO'!B159</f>
        <v>09</v>
      </c>
      <c r="C6" s="12" t="str">
        <f>'N TRIBUTARIO'!C159</f>
        <v>10</v>
      </c>
      <c r="D6" s="12" t="str">
        <f>'N TRIBUTARIO'!D159</f>
        <v>79</v>
      </c>
      <c r="E6" s="12" t="str">
        <f>'N TRIBUTARIO'!E159</f>
        <v>001</v>
      </c>
      <c r="F6" s="12">
        <f>'N TRIBUTARIO'!F159</f>
        <v>9</v>
      </c>
      <c r="G6" s="12">
        <f>'N TRIBUTARIO'!G159</f>
        <v>158</v>
      </c>
      <c r="H6" s="12" t="str">
        <f>'N TRIBUTARIO'!H159</f>
        <v>0905</v>
      </c>
      <c r="I6" s="12">
        <f>'N TRIBUTARIO'!I159</f>
        <v>0</v>
      </c>
      <c r="J6" s="12" t="s">
        <v>725</v>
      </c>
      <c r="K6" s="12" t="str">
        <f>'N TRIBUTARIO'!J159</f>
        <v>SAN ISIDRO</v>
      </c>
      <c r="L6" s="12" t="str">
        <f>'N TRIBUTARIO'!K159</f>
        <v>ESTE</v>
      </c>
      <c r="M6" s="12" t="str">
        <f>'N TRIBUTARIO'!L159</f>
        <v>CABAÑAS</v>
      </c>
      <c r="N6" s="12">
        <f>'N TRIBUTARIO'!M159</f>
        <v>0</v>
      </c>
      <c r="O6" s="12">
        <f>'N TRIBUTARIO'!N159</f>
        <v>0</v>
      </c>
      <c r="P6" s="12">
        <f>'N TRIBUTARIO'!O159</f>
        <v>1</v>
      </c>
      <c r="Q6" s="12">
        <f>'N TRIBUTARIO'!P159</f>
        <v>0</v>
      </c>
      <c r="R6" s="12">
        <f>'N TRIBUTARIO'!Q159</f>
        <v>0</v>
      </c>
      <c r="S6" s="12">
        <f>'N TRIBUTARIO'!R159</f>
        <v>0</v>
      </c>
      <c r="T6" s="12">
        <f>'N TRIBUTARIO'!S159</f>
        <v>0</v>
      </c>
      <c r="U6" s="12" t="str">
        <f>'N TRIBUTARIO'!T159</f>
        <v>-</v>
      </c>
      <c r="V6" s="12" t="str">
        <f>'N TRIBUTARIO'!U159</f>
        <v xml:space="preserve"> </v>
      </c>
      <c r="W6" s="12" t="str">
        <f>'N TRIBUTARIO'!V159</f>
        <v>SAN ISIDRO-0905-ESTE</v>
      </c>
      <c r="X6" s="12" t="str">
        <f>'N TRIBUTARIO'!W159</f>
        <v>0905-091079-001-9</v>
      </c>
      <c r="Y6" s="12" t="str">
        <f>'N TRIBUTARIO'!X159</f>
        <v>SAN ISIDRO ESTE</v>
      </c>
      <c r="Z6" s="12" t="str">
        <f>'N TRIBUTARIO'!Y159</f>
        <v>0905-091079-001-9 SAN ISIDRO ESTE</v>
      </c>
      <c r="AA6" s="12" t="str">
        <f>'N TRIBUTARIO'!Z159</f>
        <v>0905 SAN ISIDRO-ESTE</v>
      </c>
      <c r="AB6" s="12">
        <f>'N TRIBUTARIO'!AA159</f>
        <v>0</v>
      </c>
      <c r="AC6" s="12">
        <f>'N TRIBUTARIO'!AB159</f>
        <v>0</v>
      </c>
      <c r="AD6" s="12">
        <f>'N TRIBUTARIO'!AC159</f>
        <v>0</v>
      </c>
    </row>
    <row r="7" spans="1:30" ht="19" customHeight="1" x14ac:dyDescent="0.4">
      <c r="A7" s="12">
        <f>'N TRIBUTARIO'!A160</f>
        <v>0</v>
      </c>
      <c r="B7" s="12" t="str">
        <f>'N TRIBUTARIO'!B160</f>
        <v>01</v>
      </c>
      <c r="C7" s="12" t="str">
        <f>'N TRIBUTARIO'!C160</f>
        <v>06</v>
      </c>
      <c r="D7" s="12" t="str">
        <f>'N TRIBUTARIO'!D160</f>
        <v>11</v>
      </c>
      <c r="E7" s="12" t="str">
        <f>'N TRIBUTARIO'!E160</f>
        <v>001</v>
      </c>
      <c r="F7" s="12">
        <f>'N TRIBUTARIO'!F160</f>
        <v>5</v>
      </c>
      <c r="G7" s="12">
        <f>'N TRIBUTARIO'!G160</f>
        <v>159</v>
      </c>
      <c r="H7" s="12" t="str">
        <f>'N TRIBUTARIO'!H160</f>
        <v>0906</v>
      </c>
      <c r="I7" s="12">
        <f>'N TRIBUTARIO'!I160</f>
        <v>9</v>
      </c>
      <c r="J7" s="12" t="s">
        <v>725</v>
      </c>
      <c r="K7" s="12" t="str">
        <f>'N TRIBUTARIO'!J160</f>
        <v>SENSUNTEPEQUE</v>
      </c>
      <c r="L7" s="12" t="str">
        <f>'N TRIBUTARIO'!K160</f>
        <v>ESTE</v>
      </c>
      <c r="M7" s="12" t="str">
        <f>'N TRIBUTARIO'!L160</f>
        <v>CABAÑAS</v>
      </c>
      <c r="N7" s="12">
        <f>'N TRIBUTARIO'!M160</f>
        <v>0</v>
      </c>
      <c r="O7" s="12">
        <f>'N TRIBUTARIO'!N160</f>
        <v>0</v>
      </c>
      <c r="P7" s="12">
        <f>'N TRIBUTARIO'!O160</f>
        <v>1</v>
      </c>
      <c r="Q7" s="12">
        <f>'N TRIBUTARIO'!P160</f>
        <v>0</v>
      </c>
      <c r="R7" s="12">
        <f>'N TRIBUTARIO'!Q160</f>
        <v>0</v>
      </c>
      <c r="S7" s="12">
        <f>'N TRIBUTARIO'!R160</f>
        <v>0</v>
      </c>
      <c r="T7" s="12">
        <f>'N TRIBUTARIO'!S160</f>
        <v>0</v>
      </c>
      <c r="U7" s="12" t="str">
        <f>'N TRIBUTARIO'!T160</f>
        <v>-</v>
      </c>
      <c r="V7" s="12" t="str">
        <f>'N TRIBUTARIO'!U160</f>
        <v xml:space="preserve"> </v>
      </c>
      <c r="W7" s="12" t="str">
        <f>'N TRIBUTARIO'!V160</f>
        <v>SENSUNTEPEQUE-0906-ESTE</v>
      </c>
      <c r="X7" s="12" t="str">
        <f>'N TRIBUTARIO'!W160</f>
        <v>0906-010611-001-5</v>
      </c>
      <c r="Y7" s="12" t="str">
        <f>'N TRIBUTARIO'!X160</f>
        <v>SENSUNTEPEQUE ESTE</v>
      </c>
      <c r="Z7" s="12" t="str">
        <f>'N TRIBUTARIO'!Y160</f>
        <v>0906-010611-001-5 SENSUNTEPEQUE ESTE</v>
      </c>
      <c r="AA7" s="12" t="str">
        <f>'N TRIBUTARIO'!Z160</f>
        <v>0906 SENSUNTEPEQUE-ESTE</v>
      </c>
      <c r="AB7" s="12">
        <f>'N TRIBUTARIO'!AA160</f>
        <v>0</v>
      </c>
      <c r="AC7" s="12">
        <f>'N TRIBUTARIO'!AB160</f>
        <v>0</v>
      </c>
      <c r="AD7" s="12">
        <f>'N TRIBUTARIO'!AC160</f>
        <v>0</v>
      </c>
    </row>
    <row r="8" spans="1:30" ht="19" customHeight="1" x14ac:dyDescent="0.4">
      <c r="A8" s="12">
        <f>'N TRIBUTARIO'!A161</f>
        <v>0</v>
      </c>
      <c r="B8" s="12" t="str">
        <f>'N TRIBUTARIO'!B161</f>
        <v>09</v>
      </c>
      <c r="C8" s="12" t="str">
        <f>'N TRIBUTARIO'!C161</f>
        <v>10</v>
      </c>
      <c r="D8" s="12" t="str">
        <f>'N TRIBUTARIO'!D161</f>
        <v>79</v>
      </c>
      <c r="E8" s="12" t="str">
        <f>'N TRIBUTARIO'!E161</f>
        <v>001</v>
      </c>
      <c r="F8" s="12">
        <f>'N TRIBUTARIO'!F161</f>
        <v>9</v>
      </c>
      <c r="G8" s="12">
        <f>'N TRIBUTARIO'!G161</f>
        <v>160</v>
      </c>
      <c r="H8" s="12" t="str">
        <f>'N TRIBUTARIO'!H161</f>
        <v>0907</v>
      </c>
      <c r="I8" s="12">
        <f>'N TRIBUTARIO'!I161</f>
        <v>0</v>
      </c>
      <c r="J8" s="12" t="s">
        <v>725</v>
      </c>
      <c r="K8" s="12" t="str">
        <f>'N TRIBUTARIO'!J161</f>
        <v>TEJUTEPEQUE</v>
      </c>
      <c r="L8" s="12" t="str">
        <f>'N TRIBUTARIO'!K161</f>
        <v>OESTE</v>
      </c>
      <c r="M8" s="12" t="str">
        <f>'N TRIBUTARIO'!L161</f>
        <v>CABAÑAS</v>
      </c>
      <c r="N8" s="12">
        <f>'N TRIBUTARIO'!M161</f>
        <v>0</v>
      </c>
      <c r="O8" s="12">
        <f>'N TRIBUTARIO'!N161</f>
        <v>0</v>
      </c>
      <c r="P8" s="12">
        <f>'N TRIBUTARIO'!O161</f>
        <v>0</v>
      </c>
      <c r="Q8" s="12">
        <f>'N TRIBUTARIO'!P161</f>
        <v>0</v>
      </c>
      <c r="R8" s="12">
        <f>'N TRIBUTARIO'!Q161</f>
        <v>1</v>
      </c>
      <c r="S8" s="12">
        <f>'N TRIBUTARIO'!R161</f>
        <v>0</v>
      </c>
      <c r="T8" s="12">
        <f>'N TRIBUTARIO'!S161</f>
        <v>0</v>
      </c>
      <c r="U8" s="12" t="str">
        <f>'N TRIBUTARIO'!T161</f>
        <v>-</v>
      </c>
      <c r="V8" s="12" t="str">
        <f>'N TRIBUTARIO'!U161</f>
        <v xml:space="preserve"> </v>
      </c>
      <c r="W8" s="12" t="str">
        <f>'N TRIBUTARIO'!V161</f>
        <v>TEJUTEPEQUE-0907-OESTE</v>
      </c>
      <c r="X8" s="12" t="str">
        <f>'N TRIBUTARIO'!W161</f>
        <v>0907-091079-001-9</v>
      </c>
      <c r="Y8" s="12" t="str">
        <f>'N TRIBUTARIO'!X161</f>
        <v>TEJUTEPEQUE OESTE</v>
      </c>
      <c r="Z8" s="12" t="str">
        <f>'N TRIBUTARIO'!Y161</f>
        <v>0907-091079-001-9 TEJUTEPEQUE OESTE</v>
      </c>
      <c r="AA8" s="12" t="str">
        <f>'N TRIBUTARIO'!Z161</f>
        <v>0907 TEJUTEPEQUE-OESTE</v>
      </c>
      <c r="AB8" s="12">
        <f>'N TRIBUTARIO'!AA161</f>
        <v>0</v>
      </c>
      <c r="AC8" s="12">
        <f>'N TRIBUTARIO'!AB161</f>
        <v>0</v>
      </c>
      <c r="AD8" s="12">
        <f>'N TRIBUTARIO'!AC161</f>
        <v>0</v>
      </c>
    </row>
    <row r="9" spans="1:30" ht="19" customHeight="1" x14ac:dyDescent="0.4">
      <c r="A9" s="12">
        <f>'N TRIBUTARIO'!A162</f>
        <v>0</v>
      </c>
      <c r="B9" s="12" t="str">
        <f>'N TRIBUTARIO'!B162</f>
        <v>09</v>
      </c>
      <c r="C9" s="12" t="str">
        <f>'N TRIBUTARIO'!C162</f>
        <v>10</v>
      </c>
      <c r="D9" s="12" t="str">
        <f>'N TRIBUTARIO'!D162</f>
        <v>79</v>
      </c>
      <c r="E9" s="12" t="str">
        <f>'N TRIBUTARIO'!E162</f>
        <v>001</v>
      </c>
      <c r="F9" s="12">
        <f>'N TRIBUTARIO'!F162</f>
        <v>9</v>
      </c>
      <c r="G9" s="12">
        <f>'N TRIBUTARIO'!G162</f>
        <v>161</v>
      </c>
      <c r="H9" s="12" t="str">
        <f>'N TRIBUTARIO'!H162</f>
        <v>0908</v>
      </c>
      <c r="I9" s="12">
        <f>'N TRIBUTARIO'!I162</f>
        <v>0</v>
      </c>
      <c r="J9" s="12" t="s">
        <v>725</v>
      </c>
      <c r="K9" s="12" t="str">
        <f>'N TRIBUTARIO'!J162</f>
        <v>VICTORIA</v>
      </c>
      <c r="L9" s="12" t="str">
        <f>'N TRIBUTARIO'!K162</f>
        <v>ESTE</v>
      </c>
      <c r="M9" s="12" t="str">
        <f>'N TRIBUTARIO'!L162</f>
        <v>CABAÑAS</v>
      </c>
      <c r="N9" s="12">
        <f>'N TRIBUTARIO'!M162</f>
        <v>0</v>
      </c>
      <c r="O9" s="12">
        <f>'N TRIBUTARIO'!N162</f>
        <v>0</v>
      </c>
      <c r="P9" s="12">
        <f>'N TRIBUTARIO'!O162</f>
        <v>1</v>
      </c>
      <c r="Q9" s="12">
        <f>'N TRIBUTARIO'!P162</f>
        <v>0</v>
      </c>
      <c r="R9" s="12">
        <f>'N TRIBUTARIO'!Q162</f>
        <v>0</v>
      </c>
      <c r="S9" s="12">
        <f>'N TRIBUTARIO'!R162</f>
        <v>0</v>
      </c>
      <c r="T9" s="12">
        <f>'N TRIBUTARIO'!S162</f>
        <v>0</v>
      </c>
      <c r="U9" s="12" t="str">
        <f>'N TRIBUTARIO'!T162</f>
        <v>-</v>
      </c>
      <c r="V9" s="12" t="str">
        <f>'N TRIBUTARIO'!U162</f>
        <v xml:space="preserve"> </v>
      </c>
      <c r="W9" s="12" t="str">
        <f>'N TRIBUTARIO'!V162</f>
        <v>VICTORIA-0908-ESTE</v>
      </c>
      <c r="X9" s="12" t="str">
        <f>'N TRIBUTARIO'!W162</f>
        <v>0908-091079-001-9</v>
      </c>
      <c r="Y9" s="12" t="str">
        <f>'N TRIBUTARIO'!X162</f>
        <v>VICTORIA ESTE</v>
      </c>
      <c r="Z9" s="12" t="str">
        <f>'N TRIBUTARIO'!Y162</f>
        <v>0908-091079-001-9 VICTORIA ESTE</v>
      </c>
      <c r="AA9" s="12" t="str">
        <f>'N TRIBUTARIO'!Z162</f>
        <v>0908 VICTORIA-ESTE</v>
      </c>
      <c r="AB9" s="12">
        <f>'N TRIBUTARIO'!AA162</f>
        <v>0</v>
      </c>
      <c r="AC9" s="12">
        <f>'N TRIBUTARIO'!AB162</f>
        <v>0</v>
      </c>
      <c r="AD9" s="12">
        <f>'N TRIBUTARIO'!AC162</f>
        <v>0</v>
      </c>
    </row>
    <row r="10" spans="1:30" ht="19" customHeight="1" x14ac:dyDescent="0.4">
      <c r="A10" s="12">
        <f>'N TRIBUTARIO'!A163</f>
        <v>0</v>
      </c>
      <c r="B10" s="12" t="str">
        <f>'N TRIBUTARIO'!B163</f>
        <v>09</v>
      </c>
      <c r="C10" s="12" t="str">
        <f>'N TRIBUTARIO'!C163</f>
        <v>10</v>
      </c>
      <c r="D10" s="12" t="str">
        <f>'N TRIBUTARIO'!D163</f>
        <v>79</v>
      </c>
      <c r="E10" s="12" t="str">
        <f>'N TRIBUTARIO'!E163</f>
        <v>001</v>
      </c>
      <c r="F10" s="12">
        <f>'N TRIBUTARIO'!F163</f>
        <v>9</v>
      </c>
      <c r="G10" s="12">
        <f>'N TRIBUTARIO'!G163</f>
        <v>162</v>
      </c>
      <c r="H10" s="12" t="str">
        <f>'N TRIBUTARIO'!H163</f>
        <v>0909</v>
      </c>
      <c r="I10" s="12">
        <f>'N TRIBUTARIO'!I163</f>
        <v>0</v>
      </c>
      <c r="J10" s="12" t="s">
        <v>725</v>
      </c>
      <c r="K10" s="12" t="str">
        <f>'N TRIBUTARIO'!J163</f>
        <v>DOLORES</v>
      </c>
      <c r="L10" s="12" t="str">
        <f>'N TRIBUTARIO'!K163</f>
        <v>ESTE</v>
      </c>
      <c r="M10" s="12" t="str">
        <f>'N TRIBUTARIO'!L163</f>
        <v>CABAÑAS</v>
      </c>
      <c r="N10" s="12">
        <f>'N TRIBUTARIO'!M163</f>
        <v>0</v>
      </c>
      <c r="O10" s="12">
        <f>'N TRIBUTARIO'!N163</f>
        <v>0</v>
      </c>
      <c r="P10" s="12">
        <f>'N TRIBUTARIO'!O163</f>
        <v>1</v>
      </c>
      <c r="Q10" s="12">
        <f>'N TRIBUTARIO'!P163</f>
        <v>0</v>
      </c>
      <c r="R10" s="12">
        <f>'N TRIBUTARIO'!Q163</f>
        <v>0</v>
      </c>
      <c r="S10" s="12">
        <f>'N TRIBUTARIO'!R163</f>
        <v>0</v>
      </c>
      <c r="T10" s="12">
        <f>'N TRIBUTARIO'!S163</f>
        <v>0</v>
      </c>
      <c r="U10" s="12" t="str">
        <f>'N TRIBUTARIO'!T163</f>
        <v>-</v>
      </c>
      <c r="V10" s="12" t="str">
        <f>'N TRIBUTARIO'!U163</f>
        <v xml:space="preserve"> </v>
      </c>
      <c r="W10" s="12" t="str">
        <f>'N TRIBUTARIO'!V163</f>
        <v>DOLORES-0909-ESTE</v>
      </c>
      <c r="X10" s="12" t="str">
        <f>'N TRIBUTARIO'!W163</f>
        <v>0909-091079-001-9</v>
      </c>
      <c r="Y10" s="12" t="str">
        <f>'N TRIBUTARIO'!X163</f>
        <v>DOLORES ESTE</v>
      </c>
      <c r="Z10" s="12" t="str">
        <f>'N TRIBUTARIO'!Y163</f>
        <v>0909-091079-001-9 DOLORES ESTE</v>
      </c>
      <c r="AA10" s="12" t="str">
        <f>'N TRIBUTARIO'!Z163</f>
        <v>0909 DOLORES-ESTE</v>
      </c>
      <c r="AB10" s="12">
        <f>'N TRIBUTARIO'!AA163</f>
        <v>0</v>
      </c>
      <c r="AC10" s="12">
        <f>'N TRIBUTARIO'!AB163</f>
        <v>0</v>
      </c>
      <c r="AD10" s="12">
        <f>'N TRIBUTARIO'!AC163</f>
        <v>0</v>
      </c>
    </row>
    <row r="11" spans="1:30" ht="19" customHeight="1" x14ac:dyDescent="0.4">
      <c r="N11" s="1">
        <f>SUM(N2:N10)</f>
        <v>0</v>
      </c>
      <c r="O11" s="1">
        <f t="shared" ref="O11:T11" si="0">SUM(O2:O10)</f>
        <v>0</v>
      </c>
      <c r="P11" s="1">
        <f t="shared" si="0"/>
        <v>5</v>
      </c>
      <c r="Q11" s="1">
        <f t="shared" si="0"/>
        <v>0</v>
      </c>
      <c r="R11" s="1">
        <f t="shared" si="0"/>
        <v>4</v>
      </c>
      <c r="S11" s="1">
        <f t="shared" si="0"/>
        <v>0</v>
      </c>
      <c r="T11" s="1">
        <f t="shared" si="0"/>
        <v>0</v>
      </c>
    </row>
    <row r="13" spans="1:30" ht="19" customHeight="1" x14ac:dyDescent="0.4">
      <c r="J13" s="1" t="str">
        <f>P1</f>
        <v>ESTE</v>
      </c>
      <c r="K13" s="1" t="str">
        <f>CONCATENATE(K3,J3,K6,J6,K7,J7,K9,J9,K10)</f>
        <v>GUACOTECTI, SAN ISIDRO, SENSUNTEPEQUE, VICTORIA, DOLORES</v>
      </c>
    </row>
    <row r="14" spans="1:30" ht="19" customHeight="1" x14ac:dyDescent="0.4">
      <c r="J14" s="1" t="str">
        <f>R1</f>
        <v>OESTE</v>
      </c>
      <c r="K14" s="1" t="str">
        <f>CONCATENATE(K2,J2,K4,J4,K5,J5,K8)</f>
        <v>CINQUERA, ILOBASCO, JUTIAPA, TEJUTEPEQUE</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3713-8D29-43C5-B19E-B72475B4DE61}">
  <sheetPr codeName="Hoja17"/>
  <dimension ref="A1:AD17"/>
  <sheetViews>
    <sheetView showZeros="0"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1" t="str">
        <f>'N TRIBUTARIO'!A164</f>
        <v>N1</v>
      </c>
      <c r="B2" s="11" t="str">
        <f>'N TRIBUTARIO'!B164</f>
        <v>10</v>
      </c>
      <c r="C2" s="11" t="str">
        <f>'N TRIBUTARIO'!C164</f>
        <v>10</v>
      </c>
      <c r="D2" s="11" t="str">
        <f>'N TRIBUTARIO'!D164</f>
        <v>79</v>
      </c>
      <c r="E2" s="11" t="str">
        <f>'N TRIBUTARIO'!E164</f>
        <v>001</v>
      </c>
      <c r="F2" s="11">
        <f>'N TRIBUTARIO'!F164</f>
        <v>0</v>
      </c>
      <c r="G2" s="11">
        <f>'N TRIBUTARIO'!G164</f>
        <v>163</v>
      </c>
      <c r="H2" s="11" t="str">
        <f>'N TRIBUTARIO'!H164</f>
        <v>1001</v>
      </c>
      <c r="I2" s="11">
        <f>'N TRIBUTARIO'!I164</f>
        <v>0</v>
      </c>
      <c r="J2" s="11" t="s">
        <v>725</v>
      </c>
      <c r="K2" s="11" t="str">
        <f>'N TRIBUTARIO'!J164</f>
        <v>APASTEPEQUE</v>
      </c>
      <c r="L2" s="11" t="str">
        <f>'N TRIBUTARIO'!K164</f>
        <v>NORTE</v>
      </c>
      <c r="M2" s="11" t="str">
        <f>'N TRIBUTARIO'!L164</f>
        <v>SAN VICENTE</v>
      </c>
      <c r="N2" s="11">
        <f>'N TRIBUTARIO'!M164</f>
        <v>0</v>
      </c>
      <c r="O2" s="11">
        <f>'N TRIBUTARIO'!N164</f>
        <v>0</v>
      </c>
      <c r="P2" s="11">
        <f>'N TRIBUTARIO'!O164</f>
        <v>0</v>
      </c>
      <c r="Q2" s="11">
        <f>'N TRIBUTARIO'!P164</f>
        <v>1</v>
      </c>
      <c r="R2" s="11">
        <f>'N TRIBUTARIO'!Q164</f>
        <v>0</v>
      </c>
      <c r="S2" s="11">
        <f>'N TRIBUTARIO'!R164</f>
        <v>0</v>
      </c>
      <c r="T2" s="11">
        <f>'N TRIBUTARIO'!S164</f>
        <v>0</v>
      </c>
      <c r="U2" s="11" t="str">
        <f>'N TRIBUTARIO'!T164</f>
        <v>-</v>
      </c>
      <c r="V2" s="11" t="str">
        <f>'N TRIBUTARIO'!U164</f>
        <v xml:space="preserve"> </v>
      </c>
      <c r="W2" s="11" t="str">
        <f>'N TRIBUTARIO'!V164</f>
        <v>APASTEPEQUE-1001-NORTE</v>
      </c>
      <c r="X2" s="11" t="str">
        <f>'N TRIBUTARIO'!W164</f>
        <v>1001-101079-001-0</v>
      </c>
      <c r="Y2" s="11" t="str">
        <f>'N TRIBUTARIO'!X164</f>
        <v>APASTEPEQUE NORTE</v>
      </c>
      <c r="Z2" s="11" t="str">
        <f>'N TRIBUTARIO'!Y164</f>
        <v>1001-101079-001-0 APASTEPEQUE NORTE</v>
      </c>
      <c r="AA2" s="11" t="str">
        <f>'N TRIBUTARIO'!Z164</f>
        <v>1001 APASTEPEQUE-NORTE</v>
      </c>
      <c r="AB2" s="11">
        <f>'N TRIBUTARIO'!AA164</f>
        <v>556.48</v>
      </c>
      <c r="AC2" s="11">
        <f>'N TRIBUTARIO'!AB164</f>
        <v>70209</v>
      </c>
      <c r="AD2" s="11">
        <f>'N TRIBUTARIO'!AC164</f>
        <v>126.17</v>
      </c>
    </row>
    <row r="3" spans="1:30" ht="19" customHeight="1" x14ac:dyDescent="0.4">
      <c r="A3" s="11">
        <f>'N TRIBUTARIO'!A165</f>
        <v>0</v>
      </c>
      <c r="B3" s="11" t="str">
        <f>'N TRIBUTARIO'!B165</f>
        <v>10</v>
      </c>
      <c r="C3" s="11" t="str">
        <f>'N TRIBUTARIO'!C165</f>
        <v>10</v>
      </c>
      <c r="D3" s="11" t="str">
        <f>'N TRIBUTARIO'!D165</f>
        <v>79</v>
      </c>
      <c r="E3" s="11" t="str">
        <f>'N TRIBUTARIO'!E165</f>
        <v>001</v>
      </c>
      <c r="F3" s="11">
        <f>'N TRIBUTARIO'!F165</f>
        <v>0</v>
      </c>
      <c r="G3" s="11">
        <f>'N TRIBUTARIO'!G165</f>
        <v>164</v>
      </c>
      <c r="H3" s="11" t="str">
        <f>'N TRIBUTARIO'!H165</f>
        <v>1002</v>
      </c>
      <c r="I3" s="11">
        <f>'N TRIBUTARIO'!I165</f>
        <v>0</v>
      </c>
      <c r="J3" s="11" t="s">
        <v>725</v>
      </c>
      <c r="K3" s="11" t="str">
        <f>'N TRIBUTARIO'!J165</f>
        <v>GUADALUPE</v>
      </c>
      <c r="L3" s="11" t="str">
        <f>'N TRIBUTARIO'!K165</f>
        <v>SUR</v>
      </c>
      <c r="M3" s="11" t="str">
        <f>'N TRIBUTARIO'!L165</f>
        <v>SAN VICENTE</v>
      </c>
      <c r="N3" s="11">
        <f>'N TRIBUTARIO'!M165</f>
        <v>0</v>
      </c>
      <c r="O3" s="11">
        <f>'N TRIBUTARIO'!N165</f>
        <v>0</v>
      </c>
      <c r="P3" s="11">
        <f>'N TRIBUTARIO'!O165</f>
        <v>0</v>
      </c>
      <c r="Q3" s="11">
        <f>'N TRIBUTARIO'!P165</f>
        <v>0</v>
      </c>
      <c r="R3" s="11">
        <f>'N TRIBUTARIO'!Q165</f>
        <v>0</v>
      </c>
      <c r="S3" s="11">
        <f>'N TRIBUTARIO'!R165</f>
        <v>1</v>
      </c>
      <c r="T3" s="11">
        <f>'N TRIBUTARIO'!S165</f>
        <v>0</v>
      </c>
      <c r="U3" s="11" t="str">
        <f>'N TRIBUTARIO'!T165</f>
        <v>-</v>
      </c>
      <c r="V3" s="11" t="str">
        <f>'N TRIBUTARIO'!U165</f>
        <v xml:space="preserve"> </v>
      </c>
      <c r="W3" s="11" t="str">
        <f>'N TRIBUTARIO'!V165</f>
        <v>GUADALUPE-1002-SUR</v>
      </c>
      <c r="X3" s="11" t="str">
        <f>'N TRIBUTARIO'!W165</f>
        <v>1002-101079-001-0</v>
      </c>
      <c r="Y3" s="11" t="str">
        <f>'N TRIBUTARIO'!X165</f>
        <v>GUADALUPE SUR</v>
      </c>
      <c r="Z3" s="11" t="str">
        <f>'N TRIBUTARIO'!Y165</f>
        <v>1002-101079-001-0 GUADALUPE SUR</v>
      </c>
      <c r="AA3" s="11" t="str">
        <f>'N TRIBUTARIO'!Z165</f>
        <v>1002 GUADALUPE-SUR</v>
      </c>
      <c r="AB3" s="11">
        <f>'N TRIBUTARIO'!AA165</f>
        <v>0</v>
      </c>
      <c r="AC3" s="11">
        <f>'N TRIBUTARIO'!AB165</f>
        <v>0</v>
      </c>
      <c r="AD3" s="11">
        <f>'N TRIBUTARIO'!AC165</f>
        <v>0</v>
      </c>
    </row>
    <row r="4" spans="1:30" ht="19" customHeight="1" x14ac:dyDescent="0.4">
      <c r="A4" s="11">
        <f>'N TRIBUTARIO'!A166</f>
        <v>0</v>
      </c>
      <c r="B4" s="11" t="str">
        <f>'N TRIBUTARIO'!B166</f>
        <v>10</v>
      </c>
      <c r="C4" s="11" t="str">
        <f>'N TRIBUTARIO'!C166</f>
        <v>10</v>
      </c>
      <c r="D4" s="11" t="str">
        <f>'N TRIBUTARIO'!D166</f>
        <v>79</v>
      </c>
      <c r="E4" s="11" t="str">
        <f>'N TRIBUTARIO'!E166</f>
        <v>001</v>
      </c>
      <c r="F4" s="11">
        <f>'N TRIBUTARIO'!F166</f>
        <v>0</v>
      </c>
      <c r="G4" s="11">
        <f>'N TRIBUTARIO'!G166</f>
        <v>165</v>
      </c>
      <c r="H4" s="11" t="str">
        <f>'N TRIBUTARIO'!H166</f>
        <v>1003</v>
      </c>
      <c r="I4" s="11">
        <f>'N TRIBUTARIO'!I166</f>
        <v>0</v>
      </c>
      <c r="J4" s="11" t="s">
        <v>725</v>
      </c>
      <c r="K4" s="11" t="str">
        <f>'N TRIBUTARIO'!J166</f>
        <v>SAN CAYETANO ISTEPEQUE</v>
      </c>
      <c r="L4" s="11" t="str">
        <f>'N TRIBUTARIO'!K166</f>
        <v>SUR</v>
      </c>
      <c r="M4" s="11" t="str">
        <f>'N TRIBUTARIO'!L166</f>
        <v>SAN VICENTE</v>
      </c>
      <c r="N4" s="11">
        <f>'N TRIBUTARIO'!M166</f>
        <v>0</v>
      </c>
      <c r="O4" s="11">
        <f>'N TRIBUTARIO'!N166</f>
        <v>0</v>
      </c>
      <c r="P4" s="11">
        <f>'N TRIBUTARIO'!O166</f>
        <v>0</v>
      </c>
      <c r="Q4" s="11">
        <f>'N TRIBUTARIO'!P166</f>
        <v>0</v>
      </c>
      <c r="R4" s="11">
        <f>'N TRIBUTARIO'!Q166</f>
        <v>0</v>
      </c>
      <c r="S4" s="11">
        <f>'N TRIBUTARIO'!R166</f>
        <v>1</v>
      </c>
      <c r="T4" s="11">
        <f>'N TRIBUTARIO'!S166</f>
        <v>0</v>
      </c>
      <c r="U4" s="11" t="str">
        <f>'N TRIBUTARIO'!T166</f>
        <v>-</v>
      </c>
      <c r="V4" s="11" t="str">
        <f>'N TRIBUTARIO'!U166</f>
        <v xml:space="preserve"> </v>
      </c>
      <c r="W4" s="11" t="str">
        <f>'N TRIBUTARIO'!V166</f>
        <v>SAN CAYETANO ISTEPEQUE-1003-SUR</v>
      </c>
      <c r="X4" s="11" t="str">
        <f>'N TRIBUTARIO'!W166</f>
        <v>1003-101079-001-0</v>
      </c>
      <c r="Y4" s="11" t="str">
        <f>'N TRIBUTARIO'!X166</f>
        <v>SAN CAYETANO ISTEPEQUE SUR</v>
      </c>
      <c r="Z4" s="11" t="str">
        <f>'N TRIBUTARIO'!Y166</f>
        <v>1003-101079-001-0 SAN CAYETANO ISTEPEQUE SUR</v>
      </c>
      <c r="AA4" s="11" t="str">
        <f>'N TRIBUTARIO'!Z166</f>
        <v>1003 SAN CAYETANO ISTEPEQUE-SUR</v>
      </c>
      <c r="AB4" s="11">
        <f>'N TRIBUTARIO'!AA166</f>
        <v>0</v>
      </c>
      <c r="AC4" s="11">
        <f>'N TRIBUTARIO'!AB166</f>
        <v>0</v>
      </c>
      <c r="AD4" s="11">
        <f>'N TRIBUTARIO'!AC166</f>
        <v>0</v>
      </c>
    </row>
    <row r="5" spans="1:30" ht="19" customHeight="1" x14ac:dyDescent="0.4">
      <c r="A5" s="11">
        <f>'N TRIBUTARIO'!A167</f>
        <v>0</v>
      </c>
      <c r="B5" s="11" t="str">
        <f>'N TRIBUTARIO'!B167</f>
        <v>10</v>
      </c>
      <c r="C5" s="11" t="str">
        <f>'N TRIBUTARIO'!C167</f>
        <v>10</v>
      </c>
      <c r="D5" s="11" t="str">
        <f>'N TRIBUTARIO'!D167</f>
        <v>79</v>
      </c>
      <c r="E5" s="11" t="str">
        <f>'N TRIBUTARIO'!E167</f>
        <v>001</v>
      </c>
      <c r="F5" s="11">
        <f>'N TRIBUTARIO'!F167</f>
        <v>0</v>
      </c>
      <c r="G5" s="11">
        <f>'N TRIBUTARIO'!G167</f>
        <v>166</v>
      </c>
      <c r="H5" s="11" t="str">
        <f>'N TRIBUTARIO'!H167</f>
        <v>1004</v>
      </c>
      <c r="I5" s="11">
        <f>'N TRIBUTARIO'!I167</f>
        <v>0</v>
      </c>
      <c r="J5" s="11" t="s">
        <v>725</v>
      </c>
      <c r="K5" s="11" t="str">
        <f>'N TRIBUTARIO'!J167</f>
        <v>SANTA CLARA</v>
      </c>
      <c r="L5" s="11" t="str">
        <f>'N TRIBUTARIO'!K167</f>
        <v>NORTE</v>
      </c>
      <c r="M5" s="11" t="str">
        <f>'N TRIBUTARIO'!L167</f>
        <v>SAN VICENTE</v>
      </c>
      <c r="N5" s="11">
        <f>'N TRIBUTARIO'!M167</f>
        <v>0</v>
      </c>
      <c r="O5" s="11">
        <f>'N TRIBUTARIO'!N167</f>
        <v>0</v>
      </c>
      <c r="P5" s="11">
        <f>'N TRIBUTARIO'!O167</f>
        <v>0</v>
      </c>
      <c r="Q5" s="11">
        <f>'N TRIBUTARIO'!P167</f>
        <v>1</v>
      </c>
      <c r="R5" s="11">
        <f>'N TRIBUTARIO'!Q167</f>
        <v>0</v>
      </c>
      <c r="S5" s="11">
        <f>'N TRIBUTARIO'!R167</f>
        <v>0</v>
      </c>
      <c r="T5" s="11">
        <f>'N TRIBUTARIO'!S167</f>
        <v>0</v>
      </c>
      <c r="U5" s="11" t="str">
        <f>'N TRIBUTARIO'!T167</f>
        <v>-</v>
      </c>
      <c r="V5" s="11" t="str">
        <f>'N TRIBUTARIO'!U167</f>
        <v xml:space="preserve"> </v>
      </c>
      <c r="W5" s="11" t="str">
        <f>'N TRIBUTARIO'!V167</f>
        <v>SANTA CLARA-1004-NORTE</v>
      </c>
      <c r="X5" s="11" t="str">
        <f>'N TRIBUTARIO'!W167</f>
        <v>1004-101079-001-0</v>
      </c>
      <c r="Y5" s="11" t="str">
        <f>'N TRIBUTARIO'!X167</f>
        <v>SANTA CLARA NORTE</v>
      </c>
      <c r="Z5" s="11" t="str">
        <f>'N TRIBUTARIO'!Y167</f>
        <v>1004-101079-001-0 SANTA CLARA NORTE</v>
      </c>
      <c r="AA5" s="11" t="str">
        <f>'N TRIBUTARIO'!Z167</f>
        <v>1004 SANTA CLARA-NORTE</v>
      </c>
      <c r="AB5" s="11">
        <f>'N TRIBUTARIO'!AA167</f>
        <v>0</v>
      </c>
      <c r="AC5" s="11">
        <f>'N TRIBUTARIO'!AB167</f>
        <v>0</v>
      </c>
      <c r="AD5" s="11">
        <f>'N TRIBUTARIO'!AC167</f>
        <v>0</v>
      </c>
    </row>
    <row r="6" spans="1:30" ht="19" customHeight="1" x14ac:dyDescent="0.4">
      <c r="A6" s="11">
        <f>'N TRIBUTARIO'!A168</f>
        <v>0</v>
      </c>
      <c r="B6" s="11" t="str">
        <f>'N TRIBUTARIO'!B168</f>
        <v>10</v>
      </c>
      <c r="C6" s="11" t="str">
        <f>'N TRIBUTARIO'!C168</f>
        <v>10</v>
      </c>
      <c r="D6" s="11" t="str">
        <f>'N TRIBUTARIO'!D168</f>
        <v>79</v>
      </c>
      <c r="E6" s="11" t="str">
        <f>'N TRIBUTARIO'!E168</f>
        <v>001</v>
      </c>
      <c r="F6" s="11">
        <f>'N TRIBUTARIO'!F168</f>
        <v>0</v>
      </c>
      <c r="G6" s="11">
        <f>'N TRIBUTARIO'!G168</f>
        <v>167</v>
      </c>
      <c r="H6" s="11" t="str">
        <f>'N TRIBUTARIO'!H168</f>
        <v>1005</v>
      </c>
      <c r="I6" s="11">
        <f>'N TRIBUTARIO'!I168</f>
        <v>0</v>
      </c>
      <c r="J6" s="11" t="s">
        <v>725</v>
      </c>
      <c r="K6" s="11" t="str">
        <f>'N TRIBUTARIO'!J168</f>
        <v>SANTO DOMINGO</v>
      </c>
      <c r="L6" s="11" t="str">
        <f>'N TRIBUTARIO'!K168</f>
        <v>NORTE</v>
      </c>
      <c r="M6" s="11" t="str">
        <f>'N TRIBUTARIO'!L168</f>
        <v>SAN VICENTE</v>
      </c>
      <c r="N6" s="11">
        <f>'N TRIBUTARIO'!M168</f>
        <v>0</v>
      </c>
      <c r="O6" s="11">
        <f>'N TRIBUTARIO'!N168</f>
        <v>0</v>
      </c>
      <c r="P6" s="11">
        <f>'N TRIBUTARIO'!O168</f>
        <v>0</v>
      </c>
      <c r="Q6" s="11">
        <f>'N TRIBUTARIO'!P168</f>
        <v>1</v>
      </c>
      <c r="R6" s="11">
        <f>'N TRIBUTARIO'!Q168</f>
        <v>0</v>
      </c>
      <c r="S6" s="11">
        <f>'N TRIBUTARIO'!R168</f>
        <v>0</v>
      </c>
      <c r="T6" s="11">
        <f>'N TRIBUTARIO'!S168</f>
        <v>0</v>
      </c>
      <c r="U6" s="11" t="str">
        <f>'N TRIBUTARIO'!T168</f>
        <v>-</v>
      </c>
      <c r="V6" s="11" t="str">
        <f>'N TRIBUTARIO'!U168</f>
        <v xml:space="preserve"> </v>
      </c>
      <c r="W6" s="11" t="str">
        <f>'N TRIBUTARIO'!V168</f>
        <v>SANTO DOMINGO-1005-NORTE</v>
      </c>
      <c r="X6" s="11" t="str">
        <f>'N TRIBUTARIO'!W168</f>
        <v>1005-101079-001-0</v>
      </c>
      <c r="Y6" s="11" t="str">
        <f>'N TRIBUTARIO'!X168</f>
        <v>SANTO DOMINGO NORTE</v>
      </c>
      <c r="Z6" s="11" t="str">
        <f>'N TRIBUTARIO'!Y168</f>
        <v>1005-101079-001-0 SANTO DOMINGO NORTE</v>
      </c>
      <c r="AA6" s="11" t="str">
        <f>'N TRIBUTARIO'!Z168</f>
        <v>1005 SANTO DOMINGO-NORTE</v>
      </c>
      <c r="AB6" s="11">
        <f>'N TRIBUTARIO'!AA168</f>
        <v>0</v>
      </c>
      <c r="AC6" s="11">
        <f>'N TRIBUTARIO'!AB168</f>
        <v>0</v>
      </c>
      <c r="AD6" s="11">
        <f>'N TRIBUTARIO'!AC168</f>
        <v>0</v>
      </c>
    </row>
    <row r="7" spans="1:30" ht="19" customHeight="1" x14ac:dyDescent="0.4">
      <c r="A7" s="11">
        <f>'N TRIBUTARIO'!A169</f>
        <v>0</v>
      </c>
      <c r="B7" s="11" t="str">
        <f>'N TRIBUTARIO'!B169</f>
        <v>10</v>
      </c>
      <c r="C7" s="11" t="str">
        <f>'N TRIBUTARIO'!C169</f>
        <v>10</v>
      </c>
      <c r="D7" s="11" t="str">
        <f>'N TRIBUTARIO'!D169</f>
        <v>79</v>
      </c>
      <c r="E7" s="11" t="str">
        <f>'N TRIBUTARIO'!E169</f>
        <v>001</v>
      </c>
      <c r="F7" s="11">
        <f>'N TRIBUTARIO'!F169</f>
        <v>0</v>
      </c>
      <c r="G7" s="11">
        <f>'N TRIBUTARIO'!G169</f>
        <v>168</v>
      </c>
      <c r="H7" s="11" t="str">
        <f>'N TRIBUTARIO'!H169</f>
        <v>1006</v>
      </c>
      <c r="I7" s="11">
        <f>'N TRIBUTARIO'!I169</f>
        <v>0</v>
      </c>
      <c r="J7" s="11" t="s">
        <v>725</v>
      </c>
      <c r="K7" s="11" t="str">
        <f>'N TRIBUTARIO'!J169</f>
        <v>SAN ESTEBAN CATARINA</v>
      </c>
      <c r="L7" s="11" t="str">
        <f>'N TRIBUTARIO'!K169</f>
        <v>NORTE</v>
      </c>
      <c r="M7" s="11" t="str">
        <f>'N TRIBUTARIO'!L169</f>
        <v>SAN VICENTE</v>
      </c>
      <c r="N7" s="11">
        <f>'N TRIBUTARIO'!M169</f>
        <v>0</v>
      </c>
      <c r="O7" s="11">
        <f>'N TRIBUTARIO'!N169</f>
        <v>0</v>
      </c>
      <c r="P7" s="11">
        <f>'N TRIBUTARIO'!O169</f>
        <v>0</v>
      </c>
      <c r="Q7" s="11">
        <f>'N TRIBUTARIO'!P169</f>
        <v>1</v>
      </c>
      <c r="R7" s="11">
        <f>'N TRIBUTARIO'!Q169</f>
        <v>0</v>
      </c>
      <c r="S7" s="11">
        <f>'N TRIBUTARIO'!R169</f>
        <v>0</v>
      </c>
      <c r="T7" s="11">
        <f>'N TRIBUTARIO'!S169</f>
        <v>0</v>
      </c>
      <c r="U7" s="11" t="str">
        <f>'N TRIBUTARIO'!T169</f>
        <v>-</v>
      </c>
      <c r="V7" s="11" t="str">
        <f>'N TRIBUTARIO'!U169</f>
        <v xml:space="preserve"> </v>
      </c>
      <c r="W7" s="11" t="str">
        <f>'N TRIBUTARIO'!V169</f>
        <v>SAN ESTEBAN CATARINA-1006-NORTE</v>
      </c>
      <c r="X7" s="11" t="str">
        <f>'N TRIBUTARIO'!W169</f>
        <v>1006-101079-001-0</v>
      </c>
      <c r="Y7" s="11" t="str">
        <f>'N TRIBUTARIO'!X169</f>
        <v>SAN ESTEBAN CATARINA NORTE</v>
      </c>
      <c r="Z7" s="11" t="str">
        <f>'N TRIBUTARIO'!Y169</f>
        <v>1006-101079-001-0 SAN ESTEBAN CATARINA NORTE</v>
      </c>
      <c r="AA7" s="11" t="str">
        <f>'N TRIBUTARIO'!Z169</f>
        <v>1006 SAN ESTEBAN CATARINA-NORTE</v>
      </c>
      <c r="AB7" s="11">
        <f>'N TRIBUTARIO'!AA169</f>
        <v>0</v>
      </c>
      <c r="AC7" s="11">
        <f>'N TRIBUTARIO'!AB169</f>
        <v>0</v>
      </c>
      <c r="AD7" s="11">
        <f>'N TRIBUTARIO'!AC169</f>
        <v>0</v>
      </c>
    </row>
    <row r="8" spans="1:30" ht="19" customHeight="1" x14ac:dyDescent="0.4">
      <c r="A8" s="11">
        <f>'N TRIBUTARIO'!A170</f>
        <v>0</v>
      </c>
      <c r="B8" s="11" t="str">
        <f>'N TRIBUTARIO'!B170</f>
        <v>10</v>
      </c>
      <c r="C8" s="11" t="str">
        <f>'N TRIBUTARIO'!C170</f>
        <v>10</v>
      </c>
      <c r="D8" s="11" t="str">
        <f>'N TRIBUTARIO'!D170</f>
        <v>79</v>
      </c>
      <c r="E8" s="11" t="str">
        <f>'N TRIBUTARIO'!E170</f>
        <v>001</v>
      </c>
      <c r="F8" s="11">
        <f>'N TRIBUTARIO'!F170</f>
        <v>0</v>
      </c>
      <c r="G8" s="11">
        <f>'N TRIBUTARIO'!G170</f>
        <v>169</v>
      </c>
      <c r="H8" s="11" t="str">
        <f>'N TRIBUTARIO'!H170</f>
        <v>1007</v>
      </c>
      <c r="I8" s="11">
        <f>'N TRIBUTARIO'!I170</f>
        <v>0</v>
      </c>
      <c r="J8" s="11" t="s">
        <v>725</v>
      </c>
      <c r="K8" s="11" t="str">
        <f>'N TRIBUTARIO'!J170</f>
        <v>SAN ILDEFONSO</v>
      </c>
      <c r="L8" s="11" t="str">
        <f>'N TRIBUTARIO'!K170</f>
        <v>NORTE</v>
      </c>
      <c r="M8" s="11" t="str">
        <f>'N TRIBUTARIO'!L170</f>
        <v>SAN VICENTE</v>
      </c>
      <c r="N8" s="11">
        <f>'N TRIBUTARIO'!M170</f>
        <v>0</v>
      </c>
      <c r="O8" s="11">
        <f>'N TRIBUTARIO'!N170</f>
        <v>0</v>
      </c>
      <c r="P8" s="11">
        <f>'N TRIBUTARIO'!O170</f>
        <v>0</v>
      </c>
      <c r="Q8" s="11">
        <f>'N TRIBUTARIO'!P170</f>
        <v>1</v>
      </c>
      <c r="R8" s="11">
        <f>'N TRIBUTARIO'!Q170</f>
        <v>0</v>
      </c>
      <c r="S8" s="11">
        <f>'N TRIBUTARIO'!R170</f>
        <v>0</v>
      </c>
      <c r="T8" s="11">
        <f>'N TRIBUTARIO'!S170</f>
        <v>0</v>
      </c>
      <c r="U8" s="11" t="str">
        <f>'N TRIBUTARIO'!T170</f>
        <v>-</v>
      </c>
      <c r="V8" s="11" t="str">
        <f>'N TRIBUTARIO'!U170</f>
        <v xml:space="preserve"> </v>
      </c>
      <c r="W8" s="11" t="str">
        <f>'N TRIBUTARIO'!V170</f>
        <v>SAN ILDEFONSO-1007-NORTE</v>
      </c>
      <c r="X8" s="11" t="str">
        <f>'N TRIBUTARIO'!W170</f>
        <v>1007-101079-001-0</v>
      </c>
      <c r="Y8" s="11" t="str">
        <f>'N TRIBUTARIO'!X170</f>
        <v>SAN ILDEFONSO NORTE</v>
      </c>
      <c r="Z8" s="11" t="str">
        <f>'N TRIBUTARIO'!Y170</f>
        <v>1007-101079-001-0 SAN ILDEFONSO NORTE</v>
      </c>
      <c r="AA8" s="11" t="str">
        <f>'N TRIBUTARIO'!Z170</f>
        <v>1007 SAN ILDEFONSO-NORTE</v>
      </c>
      <c r="AB8" s="11">
        <f>'N TRIBUTARIO'!AA170</f>
        <v>0</v>
      </c>
      <c r="AC8" s="11">
        <f>'N TRIBUTARIO'!AB170</f>
        <v>0</v>
      </c>
      <c r="AD8" s="11">
        <f>'N TRIBUTARIO'!AC170</f>
        <v>0</v>
      </c>
    </row>
    <row r="9" spans="1:30" ht="19" customHeight="1" x14ac:dyDescent="0.4">
      <c r="A9" s="11">
        <f>'N TRIBUTARIO'!A171</f>
        <v>0</v>
      </c>
      <c r="B9" s="11" t="str">
        <f>'N TRIBUTARIO'!B171</f>
        <v>10</v>
      </c>
      <c r="C9" s="11" t="str">
        <f>'N TRIBUTARIO'!C171</f>
        <v>10</v>
      </c>
      <c r="D9" s="11" t="str">
        <f>'N TRIBUTARIO'!D171</f>
        <v>79</v>
      </c>
      <c r="E9" s="11" t="str">
        <f>'N TRIBUTARIO'!E171</f>
        <v>001</v>
      </c>
      <c r="F9" s="11">
        <f>'N TRIBUTARIO'!F171</f>
        <v>0</v>
      </c>
      <c r="G9" s="11">
        <f>'N TRIBUTARIO'!G171</f>
        <v>170</v>
      </c>
      <c r="H9" s="11" t="str">
        <f>'N TRIBUTARIO'!H171</f>
        <v>1008</v>
      </c>
      <c r="I9" s="11">
        <f>'N TRIBUTARIO'!I171</f>
        <v>0</v>
      </c>
      <c r="J9" s="11" t="s">
        <v>725</v>
      </c>
      <c r="K9" s="11" t="str">
        <f>'N TRIBUTARIO'!J171</f>
        <v>SAN LORENZO</v>
      </c>
      <c r="L9" s="11" t="str">
        <f>'N TRIBUTARIO'!K171</f>
        <v>NORTE</v>
      </c>
      <c r="M9" s="11" t="str">
        <f>'N TRIBUTARIO'!L171</f>
        <v>SAN VICENTE</v>
      </c>
      <c r="N9" s="11">
        <f>'N TRIBUTARIO'!M171</f>
        <v>0</v>
      </c>
      <c r="O9" s="11">
        <f>'N TRIBUTARIO'!N171</f>
        <v>0</v>
      </c>
      <c r="P9" s="11">
        <f>'N TRIBUTARIO'!O171</f>
        <v>0</v>
      </c>
      <c r="Q9" s="11">
        <f>'N TRIBUTARIO'!P171</f>
        <v>1</v>
      </c>
      <c r="R9" s="11">
        <f>'N TRIBUTARIO'!Q171</f>
        <v>0</v>
      </c>
      <c r="S9" s="11">
        <f>'N TRIBUTARIO'!R171</f>
        <v>0</v>
      </c>
      <c r="T9" s="11">
        <f>'N TRIBUTARIO'!S171</f>
        <v>0</v>
      </c>
      <c r="U9" s="11" t="str">
        <f>'N TRIBUTARIO'!T171</f>
        <v>-</v>
      </c>
      <c r="V9" s="11" t="str">
        <f>'N TRIBUTARIO'!U171</f>
        <v xml:space="preserve"> </v>
      </c>
      <c r="W9" s="11" t="str">
        <f>'N TRIBUTARIO'!V171</f>
        <v>SAN LORENZO-1008-NORTE</v>
      </c>
      <c r="X9" s="11" t="str">
        <f>'N TRIBUTARIO'!W171</f>
        <v>1008-101079-001-0</v>
      </c>
      <c r="Y9" s="11" t="str">
        <f>'N TRIBUTARIO'!X171</f>
        <v>SAN LORENZO NORTE</v>
      </c>
      <c r="Z9" s="11" t="str">
        <f>'N TRIBUTARIO'!Y171</f>
        <v>1008-101079-001-0 SAN LORENZO NORTE</v>
      </c>
      <c r="AA9" s="11" t="str">
        <f>'N TRIBUTARIO'!Z171</f>
        <v>1008 SAN LORENZO-NORTE</v>
      </c>
      <c r="AB9" s="11">
        <f>'N TRIBUTARIO'!AA171</f>
        <v>0</v>
      </c>
      <c r="AC9" s="11">
        <f>'N TRIBUTARIO'!AB171</f>
        <v>0</v>
      </c>
      <c r="AD9" s="11">
        <f>'N TRIBUTARIO'!AC171</f>
        <v>0</v>
      </c>
    </row>
    <row r="10" spans="1:30" ht="19" customHeight="1" x14ac:dyDescent="0.4">
      <c r="A10" s="11">
        <f>'N TRIBUTARIO'!A172</f>
        <v>0</v>
      </c>
      <c r="B10" s="11" t="str">
        <f>'N TRIBUTARIO'!B172</f>
        <v>10</v>
      </c>
      <c r="C10" s="11" t="str">
        <f>'N TRIBUTARIO'!C172</f>
        <v>10</v>
      </c>
      <c r="D10" s="11" t="str">
        <f>'N TRIBUTARIO'!D172</f>
        <v>79</v>
      </c>
      <c r="E10" s="11" t="str">
        <f>'N TRIBUTARIO'!E172</f>
        <v>001</v>
      </c>
      <c r="F10" s="11">
        <f>'N TRIBUTARIO'!F172</f>
        <v>0</v>
      </c>
      <c r="G10" s="11">
        <f>'N TRIBUTARIO'!G172</f>
        <v>171</v>
      </c>
      <c r="H10" s="11" t="str">
        <f>'N TRIBUTARIO'!H172</f>
        <v>1009</v>
      </c>
      <c r="I10" s="11">
        <f>'N TRIBUTARIO'!I172</f>
        <v>0</v>
      </c>
      <c r="J10" s="11" t="s">
        <v>725</v>
      </c>
      <c r="K10" s="11" t="str">
        <f>'N TRIBUTARIO'!J172</f>
        <v>SAN SEBASTIAN</v>
      </c>
      <c r="L10" s="11" t="str">
        <f>'N TRIBUTARIO'!K172</f>
        <v>NORTE</v>
      </c>
      <c r="M10" s="11" t="str">
        <f>'N TRIBUTARIO'!L172</f>
        <v>SAN VICENTE</v>
      </c>
      <c r="N10" s="11">
        <f>'N TRIBUTARIO'!M172</f>
        <v>0</v>
      </c>
      <c r="O10" s="11">
        <f>'N TRIBUTARIO'!N172</f>
        <v>0</v>
      </c>
      <c r="P10" s="11">
        <f>'N TRIBUTARIO'!O172</f>
        <v>0</v>
      </c>
      <c r="Q10" s="11">
        <f>'N TRIBUTARIO'!P172</f>
        <v>1</v>
      </c>
      <c r="R10" s="11">
        <f>'N TRIBUTARIO'!Q172</f>
        <v>0</v>
      </c>
      <c r="S10" s="11">
        <f>'N TRIBUTARIO'!R172</f>
        <v>0</v>
      </c>
      <c r="T10" s="11">
        <f>'N TRIBUTARIO'!S172</f>
        <v>0</v>
      </c>
      <c r="U10" s="11" t="str">
        <f>'N TRIBUTARIO'!T172</f>
        <v>-</v>
      </c>
      <c r="V10" s="11" t="str">
        <f>'N TRIBUTARIO'!U172</f>
        <v xml:space="preserve"> </v>
      </c>
      <c r="W10" s="11" t="str">
        <f>'N TRIBUTARIO'!V172</f>
        <v>SAN SEBASTIAN-1009-NORTE</v>
      </c>
      <c r="X10" s="11" t="str">
        <f>'N TRIBUTARIO'!W172</f>
        <v>1009-101079-001-0</v>
      </c>
      <c r="Y10" s="11" t="str">
        <f>'N TRIBUTARIO'!X172</f>
        <v>SAN SEBASTIAN NORTE</v>
      </c>
      <c r="Z10" s="11" t="str">
        <f>'N TRIBUTARIO'!Y172</f>
        <v>1009-101079-001-0 SAN SEBASTIAN NORTE</v>
      </c>
      <c r="AA10" s="11" t="str">
        <f>'N TRIBUTARIO'!Z172</f>
        <v>1009 SAN SEBASTIAN-NORTE</v>
      </c>
      <c r="AB10" s="11">
        <f>'N TRIBUTARIO'!AA172</f>
        <v>0</v>
      </c>
      <c r="AC10" s="11">
        <f>'N TRIBUTARIO'!AB172</f>
        <v>0</v>
      </c>
      <c r="AD10" s="11">
        <f>'N TRIBUTARIO'!AC172</f>
        <v>0</v>
      </c>
    </row>
    <row r="11" spans="1:30" ht="19" customHeight="1" x14ac:dyDescent="0.4">
      <c r="A11" s="11" t="str">
        <f>'N TRIBUTARIO'!A173</f>
        <v>S1</v>
      </c>
      <c r="B11" s="11" t="str">
        <f>'N TRIBUTARIO'!B173</f>
        <v>01</v>
      </c>
      <c r="C11" s="11" t="str">
        <f>'N TRIBUTARIO'!C173</f>
        <v>06</v>
      </c>
      <c r="D11" s="11" t="str">
        <f>'N TRIBUTARIO'!D173</f>
        <v>11</v>
      </c>
      <c r="E11" s="11" t="str">
        <f>'N TRIBUTARIO'!E173</f>
        <v>001</v>
      </c>
      <c r="F11" s="11">
        <f>'N TRIBUTARIO'!F173</f>
        <v>2</v>
      </c>
      <c r="G11" s="11">
        <f>'N TRIBUTARIO'!G173</f>
        <v>172</v>
      </c>
      <c r="H11" s="11" t="str">
        <f>'N TRIBUTARIO'!H173</f>
        <v>1010</v>
      </c>
      <c r="I11" s="11">
        <f>'N TRIBUTARIO'!I173</f>
        <v>10</v>
      </c>
      <c r="J11" s="11" t="s">
        <v>725</v>
      </c>
      <c r="K11" s="11" t="str">
        <f>'N TRIBUTARIO'!J173</f>
        <v>SAN VICENTE</v>
      </c>
      <c r="L11" s="11" t="str">
        <f>'N TRIBUTARIO'!K173</f>
        <v>SUR</v>
      </c>
      <c r="M11" s="11" t="str">
        <f>'N TRIBUTARIO'!L173</f>
        <v>SAN VICENTE</v>
      </c>
      <c r="N11" s="11">
        <f>'N TRIBUTARIO'!M173</f>
        <v>0</v>
      </c>
      <c r="O11" s="11">
        <f>'N TRIBUTARIO'!N173</f>
        <v>0</v>
      </c>
      <c r="P11" s="11">
        <f>'N TRIBUTARIO'!O173</f>
        <v>0</v>
      </c>
      <c r="Q11" s="11">
        <f>'N TRIBUTARIO'!P173</f>
        <v>0</v>
      </c>
      <c r="R11" s="11">
        <f>'N TRIBUTARIO'!Q173</f>
        <v>0</v>
      </c>
      <c r="S11" s="11">
        <f>'N TRIBUTARIO'!R173</f>
        <v>1</v>
      </c>
      <c r="T11" s="11">
        <f>'N TRIBUTARIO'!S173</f>
        <v>0</v>
      </c>
      <c r="U11" s="11" t="str">
        <f>'N TRIBUTARIO'!T173</f>
        <v>-</v>
      </c>
      <c r="V11" s="11" t="str">
        <f>'N TRIBUTARIO'!U173</f>
        <v xml:space="preserve"> </v>
      </c>
      <c r="W11" s="11" t="str">
        <f>'N TRIBUTARIO'!V173</f>
        <v>SAN VICENTE-1010-SUR</v>
      </c>
      <c r="X11" s="11" t="str">
        <f>'N TRIBUTARIO'!W173</f>
        <v>1010-010611-001-2</v>
      </c>
      <c r="Y11" s="11" t="str">
        <f>'N TRIBUTARIO'!X173</f>
        <v>SAN VICENTE SUR</v>
      </c>
      <c r="Z11" s="11" t="str">
        <f>'N TRIBUTARIO'!Y173</f>
        <v>1010-010611-001-2 SAN VICENTE SUR</v>
      </c>
      <c r="AA11" s="11" t="str">
        <f>'N TRIBUTARIO'!Z173</f>
        <v>1010 SAN VICENTE-SUR</v>
      </c>
      <c r="AB11" s="11">
        <f>'N TRIBUTARIO'!AA173</f>
        <v>627.54</v>
      </c>
      <c r="AC11" s="11">
        <f>'N TRIBUTARIO'!AB173</f>
        <v>99893</v>
      </c>
      <c r="AD11" s="11">
        <f>'N TRIBUTARIO'!AC173</f>
        <v>159.18</v>
      </c>
    </row>
    <row r="12" spans="1:30" ht="19" customHeight="1" x14ac:dyDescent="0.4">
      <c r="A12" s="11">
        <f>'N TRIBUTARIO'!A174</f>
        <v>0</v>
      </c>
      <c r="B12" s="11" t="str">
        <f>'N TRIBUTARIO'!B174</f>
        <v>10</v>
      </c>
      <c r="C12" s="11" t="str">
        <f>'N TRIBUTARIO'!C174</f>
        <v>10</v>
      </c>
      <c r="D12" s="11" t="str">
        <f>'N TRIBUTARIO'!D174</f>
        <v>79</v>
      </c>
      <c r="E12" s="11" t="str">
        <f>'N TRIBUTARIO'!E174</f>
        <v>001</v>
      </c>
      <c r="F12" s="11">
        <f>'N TRIBUTARIO'!F174</f>
        <v>1</v>
      </c>
      <c r="G12" s="11">
        <f>'N TRIBUTARIO'!G174</f>
        <v>173</v>
      </c>
      <c r="H12" s="11" t="str">
        <f>'N TRIBUTARIO'!H174</f>
        <v>1011</v>
      </c>
      <c r="I12" s="11">
        <f>'N TRIBUTARIO'!I174</f>
        <v>0</v>
      </c>
      <c r="J12" s="11" t="s">
        <v>725</v>
      </c>
      <c r="K12" s="11" t="str">
        <f>'N TRIBUTARIO'!J174</f>
        <v>TECOLUCA</v>
      </c>
      <c r="L12" s="11" t="str">
        <f>'N TRIBUTARIO'!K174</f>
        <v>SUR</v>
      </c>
      <c r="M12" s="11" t="str">
        <f>'N TRIBUTARIO'!L174</f>
        <v>SAN VICENTE</v>
      </c>
      <c r="N12" s="11">
        <f>'N TRIBUTARIO'!M174</f>
        <v>0</v>
      </c>
      <c r="O12" s="11">
        <f>'N TRIBUTARIO'!N174</f>
        <v>0</v>
      </c>
      <c r="P12" s="11">
        <f>'N TRIBUTARIO'!O174</f>
        <v>0</v>
      </c>
      <c r="Q12" s="11">
        <f>'N TRIBUTARIO'!P174</f>
        <v>0</v>
      </c>
      <c r="R12" s="11">
        <f>'N TRIBUTARIO'!Q174</f>
        <v>0</v>
      </c>
      <c r="S12" s="11">
        <f>'N TRIBUTARIO'!R174</f>
        <v>1</v>
      </c>
      <c r="T12" s="11">
        <f>'N TRIBUTARIO'!S174</f>
        <v>0</v>
      </c>
      <c r="U12" s="11" t="str">
        <f>'N TRIBUTARIO'!T174</f>
        <v>-</v>
      </c>
      <c r="V12" s="11" t="str">
        <f>'N TRIBUTARIO'!U174</f>
        <v xml:space="preserve"> </v>
      </c>
      <c r="W12" s="11" t="str">
        <f>'N TRIBUTARIO'!V174</f>
        <v>TECOLUCA-1011-SUR</v>
      </c>
      <c r="X12" s="11" t="str">
        <f>'N TRIBUTARIO'!W174</f>
        <v>1011-101079-001-1</v>
      </c>
      <c r="Y12" s="11" t="str">
        <f>'N TRIBUTARIO'!X174</f>
        <v>TECOLUCA SUR</v>
      </c>
      <c r="Z12" s="11" t="str">
        <f>'N TRIBUTARIO'!Y174</f>
        <v>1011-101079-001-1 TECOLUCA SUR</v>
      </c>
      <c r="AA12" s="11" t="str">
        <f>'N TRIBUTARIO'!Z174</f>
        <v>1011 TECOLUCA-SUR</v>
      </c>
      <c r="AB12" s="11">
        <f>'N TRIBUTARIO'!AA174</f>
        <v>0</v>
      </c>
      <c r="AC12" s="11">
        <f>'N TRIBUTARIO'!AB174</f>
        <v>0</v>
      </c>
      <c r="AD12" s="11">
        <f>'N TRIBUTARIO'!AC174</f>
        <v>0</v>
      </c>
    </row>
    <row r="13" spans="1:30" ht="19" customHeight="1" x14ac:dyDescent="0.4">
      <c r="A13" s="11">
        <f>'N TRIBUTARIO'!A175</f>
        <v>0</v>
      </c>
      <c r="B13" s="11" t="str">
        <f>'N TRIBUTARIO'!B175</f>
        <v>10</v>
      </c>
      <c r="C13" s="11" t="str">
        <f>'N TRIBUTARIO'!C175</f>
        <v>10</v>
      </c>
      <c r="D13" s="11" t="str">
        <f>'N TRIBUTARIO'!D175</f>
        <v>79</v>
      </c>
      <c r="E13" s="11" t="str">
        <f>'N TRIBUTARIO'!E175</f>
        <v>001</v>
      </c>
      <c r="F13" s="11">
        <f>'N TRIBUTARIO'!F175</f>
        <v>1</v>
      </c>
      <c r="G13" s="11">
        <f>'N TRIBUTARIO'!G175</f>
        <v>174</v>
      </c>
      <c r="H13" s="11" t="str">
        <f>'N TRIBUTARIO'!H175</f>
        <v>1012</v>
      </c>
      <c r="I13" s="11">
        <f>'N TRIBUTARIO'!I175</f>
        <v>0</v>
      </c>
      <c r="J13" s="11" t="s">
        <v>725</v>
      </c>
      <c r="K13" s="11" t="str">
        <f>'N TRIBUTARIO'!J175</f>
        <v>TEPETITAN</v>
      </c>
      <c r="L13" s="11" t="str">
        <f>'N TRIBUTARIO'!K175</f>
        <v>SUR</v>
      </c>
      <c r="M13" s="11" t="str">
        <f>'N TRIBUTARIO'!L175</f>
        <v>SAN VICENTE</v>
      </c>
      <c r="N13" s="11">
        <f>'N TRIBUTARIO'!M175</f>
        <v>0</v>
      </c>
      <c r="O13" s="11">
        <f>'N TRIBUTARIO'!N175</f>
        <v>0</v>
      </c>
      <c r="P13" s="11">
        <f>'N TRIBUTARIO'!O175</f>
        <v>0</v>
      </c>
      <c r="Q13" s="11">
        <f>'N TRIBUTARIO'!P175</f>
        <v>0</v>
      </c>
      <c r="R13" s="11">
        <f>'N TRIBUTARIO'!Q175</f>
        <v>0</v>
      </c>
      <c r="S13" s="11">
        <f>'N TRIBUTARIO'!R175</f>
        <v>1</v>
      </c>
      <c r="T13" s="11">
        <f>'N TRIBUTARIO'!S175</f>
        <v>0</v>
      </c>
      <c r="U13" s="11" t="str">
        <f>'N TRIBUTARIO'!T175</f>
        <v>-</v>
      </c>
      <c r="V13" s="11" t="str">
        <f>'N TRIBUTARIO'!U175</f>
        <v xml:space="preserve"> </v>
      </c>
      <c r="W13" s="11" t="str">
        <f>'N TRIBUTARIO'!V175</f>
        <v>TEPETITAN-1012-SUR</v>
      </c>
      <c r="X13" s="11" t="str">
        <f>'N TRIBUTARIO'!W175</f>
        <v>1012-101079-001-1</v>
      </c>
      <c r="Y13" s="11" t="str">
        <f>'N TRIBUTARIO'!X175</f>
        <v>TEPETITAN SUR</v>
      </c>
      <c r="Z13" s="11" t="str">
        <f>'N TRIBUTARIO'!Y175</f>
        <v>1012-101079-001-1 TEPETITAN SUR</v>
      </c>
      <c r="AA13" s="11" t="str">
        <f>'N TRIBUTARIO'!Z175</f>
        <v>1012 TEPETITAN-SUR</v>
      </c>
      <c r="AB13" s="11">
        <f>'N TRIBUTARIO'!AA175</f>
        <v>0</v>
      </c>
      <c r="AC13" s="11">
        <f>'N TRIBUTARIO'!AB175</f>
        <v>0</v>
      </c>
      <c r="AD13" s="11">
        <f>'N TRIBUTARIO'!AC175</f>
        <v>0</v>
      </c>
    </row>
    <row r="14" spans="1:30" ht="19" customHeight="1" x14ac:dyDescent="0.4">
      <c r="A14" s="11">
        <f>'N TRIBUTARIO'!A176</f>
        <v>0</v>
      </c>
      <c r="B14" s="11" t="str">
        <f>'N TRIBUTARIO'!B176</f>
        <v>10</v>
      </c>
      <c r="C14" s="11" t="str">
        <f>'N TRIBUTARIO'!C176</f>
        <v>10</v>
      </c>
      <c r="D14" s="11" t="str">
        <f>'N TRIBUTARIO'!D176</f>
        <v>79</v>
      </c>
      <c r="E14" s="11" t="str">
        <f>'N TRIBUTARIO'!E176</f>
        <v>001</v>
      </c>
      <c r="F14" s="11">
        <f>'N TRIBUTARIO'!F176</f>
        <v>1</v>
      </c>
      <c r="G14" s="11">
        <f>'N TRIBUTARIO'!G176</f>
        <v>175</v>
      </c>
      <c r="H14" s="11" t="str">
        <f>'N TRIBUTARIO'!H176</f>
        <v>1013</v>
      </c>
      <c r="I14" s="11">
        <f>'N TRIBUTARIO'!I176</f>
        <v>0</v>
      </c>
      <c r="J14" s="11" t="s">
        <v>725</v>
      </c>
      <c r="K14" s="11" t="str">
        <f>'N TRIBUTARIO'!J176</f>
        <v>VERAPAZ</v>
      </c>
      <c r="L14" s="11" t="str">
        <f>'N TRIBUTARIO'!K176</f>
        <v>SUR</v>
      </c>
      <c r="M14" s="11" t="str">
        <f>'N TRIBUTARIO'!L176</f>
        <v>SAN VICENTE</v>
      </c>
      <c r="N14" s="11">
        <f>'N TRIBUTARIO'!M176</f>
        <v>0</v>
      </c>
      <c r="O14" s="11">
        <f>'N TRIBUTARIO'!N176</f>
        <v>0</v>
      </c>
      <c r="P14" s="11">
        <f>'N TRIBUTARIO'!O176</f>
        <v>0</v>
      </c>
      <c r="Q14" s="11">
        <f>'N TRIBUTARIO'!P176</f>
        <v>0</v>
      </c>
      <c r="R14" s="11">
        <f>'N TRIBUTARIO'!Q176</f>
        <v>0</v>
      </c>
      <c r="S14" s="11">
        <f>'N TRIBUTARIO'!R176</f>
        <v>1</v>
      </c>
      <c r="T14" s="11">
        <f>'N TRIBUTARIO'!S176</f>
        <v>0</v>
      </c>
      <c r="U14" s="11" t="str">
        <f>'N TRIBUTARIO'!T176</f>
        <v>-</v>
      </c>
      <c r="V14" s="11" t="str">
        <f>'N TRIBUTARIO'!U176</f>
        <v xml:space="preserve"> </v>
      </c>
      <c r="W14" s="11" t="str">
        <f>'N TRIBUTARIO'!V176</f>
        <v>VERAPAZ-1013-SUR</v>
      </c>
      <c r="X14" s="11" t="str">
        <f>'N TRIBUTARIO'!W176</f>
        <v>1013-101079-001-1</v>
      </c>
      <c r="Y14" s="11" t="str">
        <f>'N TRIBUTARIO'!X176</f>
        <v>VERAPAZ SUR</v>
      </c>
      <c r="Z14" s="11" t="str">
        <f>'N TRIBUTARIO'!Y176</f>
        <v>1013-101079-001-1 VERAPAZ SUR</v>
      </c>
      <c r="AA14" s="11" t="str">
        <f>'N TRIBUTARIO'!Z176</f>
        <v>1013 VERAPAZ-SUR</v>
      </c>
      <c r="AB14" s="11">
        <f>'N TRIBUTARIO'!AA176</f>
        <v>0</v>
      </c>
      <c r="AC14" s="11">
        <f>'N TRIBUTARIO'!AB176</f>
        <v>0</v>
      </c>
      <c r="AD14" s="11">
        <f>'N TRIBUTARIO'!AC176</f>
        <v>0</v>
      </c>
    </row>
    <row r="15" spans="1:30" ht="19" customHeight="1" x14ac:dyDescent="0.4">
      <c r="N15" s="1">
        <f>SUM(N2:N14)</f>
        <v>0</v>
      </c>
      <c r="O15" s="1">
        <f t="shared" ref="O15:T15" si="0">SUM(O2:O14)</f>
        <v>0</v>
      </c>
      <c r="P15" s="1">
        <f t="shared" si="0"/>
        <v>0</v>
      </c>
      <c r="Q15" s="1">
        <f t="shared" si="0"/>
        <v>7</v>
      </c>
      <c r="R15" s="1">
        <f t="shared" si="0"/>
        <v>0</v>
      </c>
      <c r="S15" s="1">
        <f t="shared" si="0"/>
        <v>6</v>
      </c>
      <c r="T15" s="1">
        <f t="shared" si="0"/>
        <v>0</v>
      </c>
    </row>
    <row r="16" spans="1:30" ht="19" customHeight="1" x14ac:dyDescent="0.4">
      <c r="J16" s="1" t="str">
        <f>Q1</f>
        <v>NORTE</v>
      </c>
      <c r="K16" s="1" t="str">
        <f>CONCATENATE(K2,J2,K5,J5,K6,J6,K7,J7,K8,J8,K9,J9,K10)</f>
        <v>APASTEPEQUE, SANTA CLARA, SANTO DOMINGO, SAN ESTEBAN CATARINA, SAN ILDEFONSO, SAN LORENZO, SAN SEBASTIAN</v>
      </c>
    </row>
    <row r="17" spans="10:11" ht="19" customHeight="1" x14ac:dyDescent="0.4">
      <c r="J17" s="1" t="str">
        <f>S1</f>
        <v>SUR</v>
      </c>
      <c r="K17" s="1" t="str">
        <f>CONCATENATE(K3,J3,K4,J4,K11,J11,K12,J12,K13,J13,K14)</f>
        <v>GUADALUPE, SAN CAYETANO ISTEPEQUE, SAN VICENTE, TECOLUCA, TEPETITAN, VERAPAZ</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9444E-3361-4A8A-9A2A-DF8E96BD3E29}">
  <sheetPr codeName="Hoja18"/>
  <dimension ref="A1:AD28"/>
  <sheetViews>
    <sheetView showZeros="0" topLeftCell="A12"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10" t="str">
        <f>'N TRIBUTARIO'!A177</f>
        <v>N1</v>
      </c>
      <c r="B2" s="10" t="str">
        <f>'N TRIBUTARIO'!B177</f>
        <v>11</v>
      </c>
      <c r="C2" s="10" t="str">
        <f>'N TRIBUTARIO'!C177</f>
        <v>10</v>
      </c>
      <c r="D2" s="10" t="str">
        <f>'N TRIBUTARIO'!D177</f>
        <v>79</v>
      </c>
      <c r="E2" s="10" t="str">
        <f>'N TRIBUTARIO'!E177</f>
        <v>001</v>
      </c>
      <c r="F2" s="10">
        <f>'N TRIBUTARIO'!F177</f>
        <v>0</v>
      </c>
      <c r="G2" s="10">
        <f>'N TRIBUTARIO'!G177</f>
        <v>176</v>
      </c>
      <c r="H2" s="10" t="str">
        <f>'N TRIBUTARIO'!H177</f>
        <v>1101</v>
      </c>
      <c r="I2" s="10">
        <f>'N TRIBUTARIO'!I177</f>
        <v>0</v>
      </c>
      <c r="J2" s="10" t="s">
        <v>725</v>
      </c>
      <c r="K2" s="10" t="str">
        <f>'N TRIBUTARIO'!J177</f>
        <v>ALEGRIA</v>
      </c>
      <c r="L2" s="10" t="str">
        <f>'N TRIBUTARIO'!K177</f>
        <v>NORTE</v>
      </c>
      <c r="M2" s="10" t="str">
        <f>'N TRIBUTARIO'!L177</f>
        <v>USULUTAN</v>
      </c>
      <c r="N2" s="10">
        <f>'N TRIBUTARIO'!M177</f>
        <v>0</v>
      </c>
      <c r="O2" s="10">
        <f>'N TRIBUTARIO'!N177</f>
        <v>0</v>
      </c>
      <c r="P2" s="10">
        <f>'N TRIBUTARIO'!O177</f>
        <v>0</v>
      </c>
      <c r="Q2" s="10">
        <f>'N TRIBUTARIO'!P177</f>
        <v>1</v>
      </c>
      <c r="R2" s="10">
        <f>'N TRIBUTARIO'!Q177</f>
        <v>0</v>
      </c>
      <c r="S2" s="10">
        <f>'N TRIBUTARIO'!R177</f>
        <v>0</v>
      </c>
      <c r="T2" s="10">
        <f>'N TRIBUTARIO'!S177</f>
        <v>0</v>
      </c>
      <c r="U2" s="10" t="str">
        <f>'N TRIBUTARIO'!T177</f>
        <v>-</v>
      </c>
      <c r="V2" s="10" t="str">
        <f>'N TRIBUTARIO'!U177</f>
        <v xml:space="preserve"> </v>
      </c>
      <c r="W2" s="10" t="str">
        <f>'N TRIBUTARIO'!V177</f>
        <v>ALEGRIA-1101-NORTE</v>
      </c>
      <c r="X2" s="10" t="str">
        <f>'N TRIBUTARIO'!W177</f>
        <v>1101-111079-001-0</v>
      </c>
      <c r="Y2" s="10" t="str">
        <f>'N TRIBUTARIO'!X177</f>
        <v>ALEGRIA NORTE</v>
      </c>
      <c r="Z2" s="10" t="str">
        <f>'N TRIBUTARIO'!Y177</f>
        <v>1101-111079-001-0 ALEGRIA NORTE</v>
      </c>
      <c r="AA2" s="10" t="str">
        <f>'N TRIBUTARIO'!Z177</f>
        <v>1101 ALEGRIA-NORTE</v>
      </c>
      <c r="AB2" s="10">
        <f>'N TRIBUTARIO'!AA177</f>
        <v>551.69000000000005</v>
      </c>
      <c r="AC2" s="10">
        <f>'N TRIBUTARIO'!AB177</f>
        <v>109367</v>
      </c>
      <c r="AD2" s="10">
        <f>'N TRIBUTARIO'!AC177</f>
        <v>198.24</v>
      </c>
    </row>
    <row r="3" spans="1:30" ht="19" customHeight="1" x14ac:dyDescent="0.4">
      <c r="A3" s="10">
        <f>'N TRIBUTARIO'!A178</f>
        <v>0</v>
      </c>
      <c r="B3" s="10" t="str">
        <f>'N TRIBUTARIO'!B178</f>
        <v>03</v>
      </c>
      <c r="C3" s="10" t="str">
        <f>'N TRIBUTARIO'!C178</f>
        <v>04</v>
      </c>
      <c r="D3" s="10" t="str">
        <f>'N TRIBUTARIO'!D178</f>
        <v>78</v>
      </c>
      <c r="E3" s="10" t="str">
        <f>'N TRIBUTARIO'!E178</f>
        <v>001</v>
      </c>
      <c r="F3" s="10">
        <f>'N TRIBUTARIO'!F178</f>
        <v>1</v>
      </c>
      <c r="G3" s="10">
        <f>'N TRIBUTARIO'!G178</f>
        <v>177</v>
      </c>
      <c r="H3" s="10" t="str">
        <f>'N TRIBUTARIO'!H178</f>
        <v>1102</v>
      </c>
      <c r="I3" s="10">
        <f>'N TRIBUTARIO'!I178</f>
        <v>0</v>
      </c>
      <c r="J3" s="10" t="s">
        <v>725</v>
      </c>
      <c r="K3" s="10" t="str">
        <f>'N TRIBUTARIO'!J178</f>
        <v>BERLIN</v>
      </c>
      <c r="L3" s="10" t="str">
        <f>'N TRIBUTARIO'!K178</f>
        <v>NORTE</v>
      </c>
      <c r="M3" s="10" t="str">
        <f>'N TRIBUTARIO'!L178</f>
        <v>USULUTAN</v>
      </c>
      <c r="N3" s="10">
        <f>'N TRIBUTARIO'!M178</f>
        <v>0</v>
      </c>
      <c r="O3" s="10">
        <f>'N TRIBUTARIO'!N178</f>
        <v>0</v>
      </c>
      <c r="P3" s="10">
        <f>'N TRIBUTARIO'!O178</f>
        <v>0</v>
      </c>
      <c r="Q3" s="10">
        <f>'N TRIBUTARIO'!P178</f>
        <v>1</v>
      </c>
      <c r="R3" s="10">
        <f>'N TRIBUTARIO'!Q178</f>
        <v>0</v>
      </c>
      <c r="S3" s="10">
        <f>'N TRIBUTARIO'!R178</f>
        <v>0</v>
      </c>
      <c r="T3" s="10">
        <f>'N TRIBUTARIO'!S178</f>
        <v>0</v>
      </c>
      <c r="U3" s="10" t="str">
        <f>'N TRIBUTARIO'!T178</f>
        <v>-</v>
      </c>
      <c r="V3" s="10" t="str">
        <f>'N TRIBUTARIO'!U178</f>
        <v xml:space="preserve"> </v>
      </c>
      <c r="W3" s="10" t="str">
        <f>'N TRIBUTARIO'!V178</f>
        <v>BERLIN-1102-NORTE</v>
      </c>
      <c r="X3" s="10" t="str">
        <f>'N TRIBUTARIO'!W178</f>
        <v>1102-030478-001-1</v>
      </c>
      <c r="Y3" s="10" t="str">
        <f>'N TRIBUTARIO'!X178</f>
        <v>BERLIN NORTE</v>
      </c>
      <c r="Z3" s="10" t="str">
        <f>'N TRIBUTARIO'!Y178</f>
        <v>1102-030478-001-1 BERLIN NORTE</v>
      </c>
      <c r="AA3" s="10" t="str">
        <f>'N TRIBUTARIO'!Z178</f>
        <v>1102 BERLIN-NORTE</v>
      </c>
      <c r="AB3" s="10">
        <f>'N TRIBUTARIO'!AA178</f>
        <v>0</v>
      </c>
      <c r="AC3" s="10">
        <f>'N TRIBUTARIO'!AB178</f>
        <v>0</v>
      </c>
      <c r="AD3" s="10">
        <f>'N TRIBUTARIO'!AC178</f>
        <v>0</v>
      </c>
    </row>
    <row r="4" spans="1:30" ht="19" customHeight="1" x14ac:dyDescent="0.4">
      <c r="A4" s="10" t="str">
        <f>'N TRIBUTARIO'!A179</f>
        <v>E1</v>
      </c>
      <c r="B4" s="10" t="str">
        <f>'N TRIBUTARIO'!B179</f>
        <v>11</v>
      </c>
      <c r="C4" s="10" t="str">
        <f>'N TRIBUTARIO'!C179</f>
        <v>10</v>
      </c>
      <c r="D4" s="10" t="str">
        <f>'N TRIBUTARIO'!D179</f>
        <v>79</v>
      </c>
      <c r="E4" s="10" t="str">
        <f>'N TRIBUTARIO'!E179</f>
        <v>001</v>
      </c>
      <c r="F4" s="10">
        <f>'N TRIBUTARIO'!F179</f>
        <v>0</v>
      </c>
      <c r="G4" s="10">
        <f>'N TRIBUTARIO'!G179</f>
        <v>178</v>
      </c>
      <c r="H4" s="10" t="str">
        <f>'N TRIBUTARIO'!H179</f>
        <v>1103</v>
      </c>
      <c r="I4" s="10">
        <f>'N TRIBUTARIO'!I179</f>
        <v>0</v>
      </c>
      <c r="J4" s="10" t="s">
        <v>725</v>
      </c>
      <c r="K4" s="10" t="str">
        <f>'N TRIBUTARIO'!J179</f>
        <v>CALIFORNIA</v>
      </c>
      <c r="L4" s="10" t="str">
        <f>'N TRIBUTARIO'!K179</f>
        <v>ESTE</v>
      </c>
      <c r="M4" s="10" t="str">
        <f>'N TRIBUTARIO'!L179</f>
        <v>USULUTAN</v>
      </c>
      <c r="N4" s="10">
        <f>'N TRIBUTARIO'!M179</f>
        <v>0</v>
      </c>
      <c r="O4" s="10">
        <f>'N TRIBUTARIO'!N179</f>
        <v>0</v>
      </c>
      <c r="P4" s="10">
        <f>'N TRIBUTARIO'!O179</f>
        <v>1</v>
      </c>
      <c r="Q4" s="10">
        <f>'N TRIBUTARIO'!P179</f>
        <v>0</v>
      </c>
      <c r="R4" s="10">
        <f>'N TRIBUTARIO'!Q179</f>
        <v>0</v>
      </c>
      <c r="S4" s="10">
        <f>'N TRIBUTARIO'!R179</f>
        <v>0</v>
      </c>
      <c r="T4" s="10">
        <f>'N TRIBUTARIO'!S179</f>
        <v>0</v>
      </c>
      <c r="U4" s="10" t="str">
        <f>'N TRIBUTARIO'!T179</f>
        <v>-</v>
      </c>
      <c r="V4" s="10" t="str">
        <f>'N TRIBUTARIO'!U179</f>
        <v xml:space="preserve"> </v>
      </c>
      <c r="W4" s="10" t="str">
        <f>'N TRIBUTARIO'!V179</f>
        <v>CALIFORNIA-1103-ESTE</v>
      </c>
      <c r="X4" s="10" t="str">
        <f>'N TRIBUTARIO'!W179</f>
        <v>1103-111079-001-0</v>
      </c>
      <c r="Y4" s="10" t="str">
        <f>'N TRIBUTARIO'!X179</f>
        <v>CALIFORNIA ESTE</v>
      </c>
      <c r="Z4" s="10" t="str">
        <f>'N TRIBUTARIO'!Y179</f>
        <v>1103-111079-001-0 CALIFORNIA ESTE</v>
      </c>
      <c r="AA4" s="10" t="str">
        <f>'N TRIBUTARIO'!Z179</f>
        <v>1103 CALIFORNIA-ESTE</v>
      </c>
      <c r="AB4" s="10">
        <f>'N TRIBUTARIO'!AA179</f>
        <v>831.32</v>
      </c>
      <c r="AC4" s="10">
        <f>'N TRIBUTARIO'!AB179</f>
        <v>160590</v>
      </c>
      <c r="AD4" s="10">
        <f>'N TRIBUTARIO'!AC179</f>
        <v>193.17</v>
      </c>
    </row>
    <row r="5" spans="1:30" ht="19" customHeight="1" x14ac:dyDescent="0.4">
      <c r="A5" s="10">
        <f>'N TRIBUTARIO'!A180</f>
        <v>0</v>
      </c>
      <c r="B5" s="10" t="str">
        <f>'N TRIBUTARIO'!B180</f>
        <v>11</v>
      </c>
      <c r="C5" s="10" t="str">
        <f>'N TRIBUTARIO'!C180</f>
        <v>10</v>
      </c>
      <c r="D5" s="10" t="str">
        <f>'N TRIBUTARIO'!D180</f>
        <v>79</v>
      </c>
      <c r="E5" s="10" t="str">
        <f>'N TRIBUTARIO'!E180</f>
        <v>001</v>
      </c>
      <c r="F5" s="10">
        <f>'N TRIBUTARIO'!F180</f>
        <v>0</v>
      </c>
      <c r="G5" s="10">
        <f>'N TRIBUTARIO'!G180</f>
        <v>179</v>
      </c>
      <c r="H5" s="10" t="str">
        <f>'N TRIBUTARIO'!H180</f>
        <v>1104</v>
      </c>
      <c r="I5" s="10">
        <f>'N TRIBUTARIO'!I180</f>
        <v>0</v>
      </c>
      <c r="J5" s="10" t="s">
        <v>725</v>
      </c>
      <c r="K5" s="10" t="str">
        <f>'N TRIBUTARIO'!J180</f>
        <v>CONCEPCION BATRES</v>
      </c>
      <c r="L5" s="10" t="str">
        <f>'N TRIBUTARIO'!K180</f>
        <v>ESTE</v>
      </c>
      <c r="M5" s="10" t="str">
        <f>'N TRIBUTARIO'!L180</f>
        <v>USULUTAN</v>
      </c>
      <c r="N5" s="10">
        <f>'N TRIBUTARIO'!M180</f>
        <v>0</v>
      </c>
      <c r="O5" s="10">
        <f>'N TRIBUTARIO'!N180</f>
        <v>0</v>
      </c>
      <c r="P5" s="10">
        <f>'N TRIBUTARIO'!O180</f>
        <v>1</v>
      </c>
      <c r="Q5" s="10">
        <f>'N TRIBUTARIO'!P180</f>
        <v>0</v>
      </c>
      <c r="R5" s="10">
        <f>'N TRIBUTARIO'!Q180</f>
        <v>0</v>
      </c>
      <c r="S5" s="10">
        <f>'N TRIBUTARIO'!R180</f>
        <v>0</v>
      </c>
      <c r="T5" s="10">
        <f>'N TRIBUTARIO'!S180</f>
        <v>0</v>
      </c>
      <c r="U5" s="10" t="str">
        <f>'N TRIBUTARIO'!T180</f>
        <v>-</v>
      </c>
      <c r="V5" s="10" t="str">
        <f>'N TRIBUTARIO'!U180</f>
        <v xml:space="preserve"> </v>
      </c>
      <c r="W5" s="10" t="str">
        <f>'N TRIBUTARIO'!V180</f>
        <v>CONCEPCION BATRES-1104-ESTE</v>
      </c>
      <c r="X5" s="10" t="str">
        <f>'N TRIBUTARIO'!W180</f>
        <v>1104-111079-001-0</v>
      </c>
      <c r="Y5" s="10" t="str">
        <f>'N TRIBUTARIO'!X180</f>
        <v>CONCEPCION BATRES ESTE</v>
      </c>
      <c r="Z5" s="10" t="str">
        <f>'N TRIBUTARIO'!Y180</f>
        <v>1104-111079-001-0 CONCEPCION BATRES ESTE</v>
      </c>
      <c r="AA5" s="10" t="str">
        <f>'N TRIBUTARIO'!Z180</f>
        <v>1104 CONCEPCION BATRES-ESTE</v>
      </c>
      <c r="AB5" s="10">
        <f>'N TRIBUTARIO'!AA180</f>
        <v>0</v>
      </c>
      <c r="AC5" s="10">
        <f>'N TRIBUTARIO'!AB180</f>
        <v>0</v>
      </c>
      <c r="AD5" s="10">
        <f>'N TRIBUTARIO'!AC180</f>
        <v>0</v>
      </c>
    </row>
    <row r="6" spans="1:30" ht="19" customHeight="1" x14ac:dyDescent="0.4">
      <c r="A6" s="10">
        <f>'N TRIBUTARIO'!A181</f>
        <v>0</v>
      </c>
      <c r="B6" s="10" t="str">
        <f>'N TRIBUTARIO'!B181</f>
        <v>11</v>
      </c>
      <c r="C6" s="10" t="str">
        <f>'N TRIBUTARIO'!C181</f>
        <v>10</v>
      </c>
      <c r="D6" s="10" t="str">
        <f>'N TRIBUTARIO'!D181</f>
        <v>79</v>
      </c>
      <c r="E6" s="10" t="str">
        <f>'N TRIBUTARIO'!E181</f>
        <v>001</v>
      </c>
      <c r="F6" s="10">
        <f>'N TRIBUTARIO'!F181</f>
        <v>0</v>
      </c>
      <c r="G6" s="10">
        <f>'N TRIBUTARIO'!G181</f>
        <v>180</v>
      </c>
      <c r="H6" s="10" t="str">
        <f>'N TRIBUTARIO'!H181</f>
        <v>1105</v>
      </c>
      <c r="I6" s="10">
        <f>'N TRIBUTARIO'!I181</f>
        <v>0</v>
      </c>
      <c r="J6" s="10" t="s">
        <v>725</v>
      </c>
      <c r="K6" s="10" t="str">
        <f>'N TRIBUTARIO'!J181</f>
        <v>EL TRIUNFO</v>
      </c>
      <c r="L6" s="10" t="str">
        <f>'N TRIBUTARIO'!K181</f>
        <v>NORTE</v>
      </c>
      <c r="M6" s="10" t="str">
        <f>'N TRIBUTARIO'!L181</f>
        <v>USULUTAN</v>
      </c>
      <c r="N6" s="10">
        <f>'N TRIBUTARIO'!M181</f>
        <v>0</v>
      </c>
      <c r="O6" s="10">
        <f>'N TRIBUTARIO'!N181</f>
        <v>0</v>
      </c>
      <c r="P6" s="10">
        <f>'N TRIBUTARIO'!O181</f>
        <v>0</v>
      </c>
      <c r="Q6" s="10">
        <f>'N TRIBUTARIO'!P181</f>
        <v>1</v>
      </c>
      <c r="R6" s="10">
        <f>'N TRIBUTARIO'!Q181</f>
        <v>0</v>
      </c>
      <c r="S6" s="10">
        <f>'N TRIBUTARIO'!R181</f>
        <v>0</v>
      </c>
      <c r="T6" s="10">
        <f>'N TRIBUTARIO'!S181</f>
        <v>0</v>
      </c>
      <c r="U6" s="10" t="str">
        <f>'N TRIBUTARIO'!T181</f>
        <v>-</v>
      </c>
      <c r="V6" s="10" t="str">
        <f>'N TRIBUTARIO'!U181</f>
        <v xml:space="preserve"> </v>
      </c>
      <c r="W6" s="10" t="str">
        <f>'N TRIBUTARIO'!V181</f>
        <v>EL TRIUNFO-1105-NORTE</v>
      </c>
      <c r="X6" s="10" t="str">
        <f>'N TRIBUTARIO'!W181</f>
        <v>1105-111079-001-0</v>
      </c>
      <c r="Y6" s="10" t="str">
        <f>'N TRIBUTARIO'!X181</f>
        <v>EL TRIUNFO NORTE</v>
      </c>
      <c r="Z6" s="10" t="str">
        <f>'N TRIBUTARIO'!Y181</f>
        <v>1105-111079-001-0 EL TRIUNFO NORTE</v>
      </c>
      <c r="AA6" s="10" t="str">
        <f>'N TRIBUTARIO'!Z181</f>
        <v>1105 EL TRIUNFO-NORTE</v>
      </c>
      <c r="AB6" s="10">
        <f>'N TRIBUTARIO'!AA181</f>
        <v>0</v>
      </c>
      <c r="AC6" s="10">
        <f>'N TRIBUTARIO'!AB181</f>
        <v>0</v>
      </c>
      <c r="AD6" s="10">
        <f>'N TRIBUTARIO'!AC181</f>
        <v>0</v>
      </c>
    </row>
    <row r="7" spans="1:30" ht="19" customHeight="1" x14ac:dyDescent="0.4">
      <c r="A7" s="10">
        <f>'N TRIBUTARIO'!A182</f>
        <v>0</v>
      </c>
      <c r="B7" s="10" t="str">
        <f>'N TRIBUTARIO'!B182</f>
        <v>11</v>
      </c>
      <c r="C7" s="10" t="str">
        <f>'N TRIBUTARIO'!C182</f>
        <v>10</v>
      </c>
      <c r="D7" s="10" t="str">
        <f>'N TRIBUTARIO'!D182</f>
        <v>79</v>
      </c>
      <c r="E7" s="10" t="str">
        <f>'N TRIBUTARIO'!E182</f>
        <v>001</v>
      </c>
      <c r="F7" s="10">
        <f>'N TRIBUTARIO'!F182</f>
        <v>0</v>
      </c>
      <c r="G7" s="10">
        <f>'N TRIBUTARIO'!G182</f>
        <v>181</v>
      </c>
      <c r="H7" s="10" t="str">
        <f>'N TRIBUTARIO'!H182</f>
        <v>1106</v>
      </c>
      <c r="I7" s="10">
        <f>'N TRIBUTARIO'!I182</f>
        <v>0</v>
      </c>
      <c r="J7" s="10" t="s">
        <v>725</v>
      </c>
      <c r="K7" s="10" t="str">
        <f>'N TRIBUTARIO'!J182</f>
        <v>EREGUAYQUIN</v>
      </c>
      <c r="L7" s="10" t="str">
        <f>'N TRIBUTARIO'!K182</f>
        <v>ESTE</v>
      </c>
      <c r="M7" s="10" t="str">
        <f>'N TRIBUTARIO'!L182</f>
        <v>USULUTAN</v>
      </c>
      <c r="N7" s="10">
        <f>'N TRIBUTARIO'!M182</f>
        <v>0</v>
      </c>
      <c r="O7" s="10">
        <f>'N TRIBUTARIO'!N182</f>
        <v>0</v>
      </c>
      <c r="P7" s="10">
        <f>'N TRIBUTARIO'!O182</f>
        <v>1</v>
      </c>
      <c r="Q7" s="10">
        <f>'N TRIBUTARIO'!P182</f>
        <v>0</v>
      </c>
      <c r="R7" s="10">
        <f>'N TRIBUTARIO'!Q182</f>
        <v>0</v>
      </c>
      <c r="S7" s="10">
        <f>'N TRIBUTARIO'!R182</f>
        <v>0</v>
      </c>
      <c r="T7" s="10">
        <f>'N TRIBUTARIO'!S182</f>
        <v>0</v>
      </c>
      <c r="U7" s="10" t="str">
        <f>'N TRIBUTARIO'!T182</f>
        <v>-</v>
      </c>
      <c r="V7" s="10" t="str">
        <f>'N TRIBUTARIO'!U182</f>
        <v xml:space="preserve"> </v>
      </c>
      <c r="W7" s="10" t="str">
        <f>'N TRIBUTARIO'!V182</f>
        <v>EREGUAYQUIN-1106-ESTE</v>
      </c>
      <c r="X7" s="10" t="str">
        <f>'N TRIBUTARIO'!W182</f>
        <v>1106-111079-001-0</v>
      </c>
      <c r="Y7" s="10" t="str">
        <f>'N TRIBUTARIO'!X182</f>
        <v>EREGUAYQUIN ESTE</v>
      </c>
      <c r="Z7" s="10" t="str">
        <f>'N TRIBUTARIO'!Y182</f>
        <v>1106-111079-001-0 EREGUAYQUIN ESTE</v>
      </c>
      <c r="AA7" s="10" t="str">
        <f>'N TRIBUTARIO'!Z182</f>
        <v>1106 EREGUAYQUIN-ESTE</v>
      </c>
      <c r="AB7" s="10">
        <f>'N TRIBUTARIO'!AA182</f>
        <v>0</v>
      </c>
      <c r="AC7" s="10">
        <f>'N TRIBUTARIO'!AB182</f>
        <v>0</v>
      </c>
      <c r="AD7" s="10">
        <f>'N TRIBUTARIO'!AC182</f>
        <v>0</v>
      </c>
    </row>
    <row r="8" spans="1:30" ht="19" customHeight="1" x14ac:dyDescent="0.4">
      <c r="A8" s="10">
        <f>'N TRIBUTARIO'!A183</f>
        <v>0</v>
      </c>
      <c r="B8" s="10" t="str">
        <f>'N TRIBUTARIO'!B183</f>
        <v>11</v>
      </c>
      <c r="C8" s="10" t="str">
        <f>'N TRIBUTARIO'!C183</f>
        <v>10</v>
      </c>
      <c r="D8" s="10" t="str">
        <f>'N TRIBUTARIO'!D183</f>
        <v>79</v>
      </c>
      <c r="E8" s="10" t="str">
        <f>'N TRIBUTARIO'!E183</f>
        <v>001</v>
      </c>
      <c r="F8" s="10">
        <f>'N TRIBUTARIO'!F183</f>
        <v>0</v>
      </c>
      <c r="G8" s="10">
        <f>'N TRIBUTARIO'!G183</f>
        <v>182</v>
      </c>
      <c r="H8" s="10" t="str">
        <f>'N TRIBUTARIO'!H183</f>
        <v>1107</v>
      </c>
      <c r="I8" s="10">
        <f>'N TRIBUTARIO'!I183</f>
        <v>0</v>
      </c>
      <c r="J8" s="10" t="s">
        <v>725</v>
      </c>
      <c r="K8" s="10" t="str">
        <f>'N TRIBUTARIO'!J183</f>
        <v>ESTANZUELAS</v>
      </c>
      <c r="L8" s="10" t="str">
        <f>'N TRIBUTARIO'!K183</f>
        <v>NORTE</v>
      </c>
      <c r="M8" s="10" t="str">
        <f>'N TRIBUTARIO'!L183</f>
        <v>USULUTAN</v>
      </c>
      <c r="N8" s="10">
        <f>'N TRIBUTARIO'!M183</f>
        <v>0</v>
      </c>
      <c r="O8" s="10">
        <f>'N TRIBUTARIO'!N183</f>
        <v>0</v>
      </c>
      <c r="P8" s="10">
        <f>'N TRIBUTARIO'!O183</f>
        <v>0</v>
      </c>
      <c r="Q8" s="10">
        <f>'N TRIBUTARIO'!P183</f>
        <v>1</v>
      </c>
      <c r="R8" s="10">
        <f>'N TRIBUTARIO'!Q183</f>
        <v>0</v>
      </c>
      <c r="S8" s="10">
        <f>'N TRIBUTARIO'!R183</f>
        <v>0</v>
      </c>
      <c r="T8" s="10">
        <f>'N TRIBUTARIO'!S183</f>
        <v>0</v>
      </c>
      <c r="U8" s="10" t="str">
        <f>'N TRIBUTARIO'!T183</f>
        <v>-</v>
      </c>
      <c r="V8" s="10" t="str">
        <f>'N TRIBUTARIO'!U183</f>
        <v xml:space="preserve"> </v>
      </c>
      <c r="W8" s="10" t="str">
        <f>'N TRIBUTARIO'!V183</f>
        <v>ESTANZUELAS-1107-NORTE</v>
      </c>
      <c r="X8" s="10" t="str">
        <f>'N TRIBUTARIO'!W183</f>
        <v>1107-111079-001-0</v>
      </c>
      <c r="Y8" s="10" t="str">
        <f>'N TRIBUTARIO'!X183</f>
        <v>ESTANZUELAS NORTE</v>
      </c>
      <c r="Z8" s="10" t="str">
        <f>'N TRIBUTARIO'!Y183</f>
        <v>1107-111079-001-0 ESTANZUELAS NORTE</v>
      </c>
      <c r="AA8" s="10" t="str">
        <f>'N TRIBUTARIO'!Z183</f>
        <v>1107 ESTANZUELAS-NORTE</v>
      </c>
      <c r="AB8" s="10">
        <f>'N TRIBUTARIO'!AA183</f>
        <v>0</v>
      </c>
      <c r="AC8" s="10">
        <f>'N TRIBUTARIO'!AB183</f>
        <v>0</v>
      </c>
      <c r="AD8" s="10">
        <f>'N TRIBUTARIO'!AC183</f>
        <v>0</v>
      </c>
    </row>
    <row r="9" spans="1:30" ht="19" customHeight="1" x14ac:dyDescent="0.4">
      <c r="A9" s="10" t="str">
        <f>'N TRIBUTARIO'!A184</f>
        <v>O1</v>
      </c>
      <c r="B9" s="10" t="str">
        <f>'N TRIBUTARIO'!B184</f>
        <v>11</v>
      </c>
      <c r="C9" s="10" t="str">
        <f>'N TRIBUTARIO'!C184</f>
        <v>10</v>
      </c>
      <c r="D9" s="10" t="str">
        <f>'N TRIBUTARIO'!D184</f>
        <v>79</v>
      </c>
      <c r="E9" s="10" t="str">
        <f>'N TRIBUTARIO'!E184</f>
        <v>001</v>
      </c>
      <c r="F9" s="10">
        <f>'N TRIBUTARIO'!F184</f>
        <v>0</v>
      </c>
      <c r="G9" s="10">
        <f>'N TRIBUTARIO'!G184</f>
        <v>183</v>
      </c>
      <c r="H9" s="10" t="str">
        <f>'N TRIBUTARIO'!H184</f>
        <v>1108</v>
      </c>
      <c r="I9" s="10">
        <f>'N TRIBUTARIO'!I184</f>
        <v>0</v>
      </c>
      <c r="J9" s="10" t="s">
        <v>725</v>
      </c>
      <c r="K9" s="10" t="str">
        <f>'N TRIBUTARIO'!J184</f>
        <v>JIQUILISCO</v>
      </c>
      <c r="L9" s="10" t="str">
        <f>'N TRIBUTARIO'!K184</f>
        <v>OESTE</v>
      </c>
      <c r="M9" s="10" t="str">
        <f>'N TRIBUTARIO'!L184</f>
        <v>USULUTAN</v>
      </c>
      <c r="N9" s="10">
        <f>'N TRIBUTARIO'!M184</f>
        <v>0</v>
      </c>
      <c r="O9" s="10">
        <f>'N TRIBUTARIO'!N184</f>
        <v>0</v>
      </c>
      <c r="P9" s="10">
        <f>'N TRIBUTARIO'!O184</f>
        <v>0</v>
      </c>
      <c r="Q9" s="10">
        <f>'N TRIBUTARIO'!P184</f>
        <v>0</v>
      </c>
      <c r="R9" s="10">
        <f>'N TRIBUTARIO'!Q184</f>
        <v>1</v>
      </c>
      <c r="S9" s="10">
        <f>'N TRIBUTARIO'!R184</f>
        <v>0</v>
      </c>
      <c r="T9" s="10">
        <f>'N TRIBUTARIO'!S184</f>
        <v>0</v>
      </c>
      <c r="U9" s="10" t="str">
        <f>'N TRIBUTARIO'!T184</f>
        <v>-</v>
      </c>
      <c r="V9" s="10" t="str">
        <f>'N TRIBUTARIO'!U184</f>
        <v xml:space="preserve"> </v>
      </c>
      <c r="W9" s="10" t="str">
        <f>'N TRIBUTARIO'!V184</f>
        <v>JIQUILISCO-1108-OESTE</v>
      </c>
      <c r="X9" s="10" t="str">
        <f>'N TRIBUTARIO'!W184</f>
        <v>1108-111079-001-0</v>
      </c>
      <c r="Y9" s="10" t="str">
        <f>'N TRIBUTARIO'!X184</f>
        <v>JIQUILISCO OESTE</v>
      </c>
      <c r="Z9" s="10" t="str">
        <f>'N TRIBUTARIO'!Y184</f>
        <v>1108-111079-001-0 JIQUILISCO OESTE</v>
      </c>
      <c r="AA9" s="10" t="str">
        <f>'N TRIBUTARIO'!Z184</f>
        <v>1108 JIQUILISCO-OESTE</v>
      </c>
      <c r="AB9" s="10">
        <f>'N TRIBUTARIO'!AA184</f>
        <v>747.43</v>
      </c>
      <c r="AC9" s="10">
        <f>'N TRIBUTARIO'!AB184</f>
        <v>79311</v>
      </c>
      <c r="AD9" s="10">
        <f>'N TRIBUTARIO'!AC184</f>
        <v>106.11</v>
      </c>
    </row>
    <row r="10" spans="1:30" ht="19" customHeight="1" x14ac:dyDescent="0.4">
      <c r="A10" s="10">
        <f>'N TRIBUTARIO'!A185</f>
        <v>0</v>
      </c>
      <c r="B10" s="10" t="str">
        <f>'N TRIBUTARIO'!B185</f>
        <v>11</v>
      </c>
      <c r="C10" s="10" t="str">
        <f>'N TRIBUTARIO'!C185</f>
        <v>10</v>
      </c>
      <c r="D10" s="10" t="str">
        <f>'N TRIBUTARIO'!D185</f>
        <v>79</v>
      </c>
      <c r="E10" s="10" t="str">
        <f>'N TRIBUTARIO'!E185</f>
        <v>001</v>
      </c>
      <c r="F10" s="10">
        <f>'N TRIBUTARIO'!F185</f>
        <v>0</v>
      </c>
      <c r="G10" s="10">
        <f>'N TRIBUTARIO'!G185</f>
        <v>184</v>
      </c>
      <c r="H10" s="10" t="str">
        <f>'N TRIBUTARIO'!H185</f>
        <v>1109</v>
      </c>
      <c r="I10" s="10">
        <f>'N TRIBUTARIO'!I185</f>
        <v>0</v>
      </c>
      <c r="J10" s="10" t="s">
        <v>725</v>
      </c>
      <c r="K10" s="10" t="str">
        <f>'N TRIBUTARIO'!J185</f>
        <v>JUCUAPA</v>
      </c>
      <c r="L10" s="10" t="str">
        <f>'N TRIBUTARIO'!K185</f>
        <v>NORTE</v>
      </c>
      <c r="M10" s="10" t="str">
        <f>'N TRIBUTARIO'!L185</f>
        <v>USULUTAN</v>
      </c>
      <c r="N10" s="10">
        <f>'N TRIBUTARIO'!M185</f>
        <v>0</v>
      </c>
      <c r="O10" s="10">
        <f>'N TRIBUTARIO'!N185</f>
        <v>0</v>
      </c>
      <c r="P10" s="10">
        <f>'N TRIBUTARIO'!O185</f>
        <v>0</v>
      </c>
      <c r="Q10" s="10">
        <f>'N TRIBUTARIO'!P185</f>
        <v>1</v>
      </c>
      <c r="R10" s="10">
        <f>'N TRIBUTARIO'!Q185</f>
        <v>0</v>
      </c>
      <c r="S10" s="10">
        <f>'N TRIBUTARIO'!R185</f>
        <v>0</v>
      </c>
      <c r="T10" s="10">
        <f>'N TRIBUTARIO'!S185</f>
        <v>0</v>
      </c>
      <c r="U10" s="10" t="str">
        <f>'N TRIBUTARIO'!T185</f>
        <v>-</v>
      </c>
      <c r="V10" s="10" t="str">
        <f>'N TRIBUTARIO'!U185</f>
        <v xml:space="preserve"> </v>
      </c>
      <c r="W10" s="10" t="str">
        <f>'N TRIBUTARIO'!V185</f>
        <v>JUCUAPA-1109-NORTE</v>
      </c>
      <c r="X10" s="10" t="str">
        <f>'N TRIBUTARIO'!W185</f>
        <v>1109-111079-001-0</v>
      </c>
      <c r="Y10" s="10" t="str">
        <f>'N TRIBUTARIO'!X185</f>
        <v>JUCUAPA NORTE</v>
      </c>
      <c r="Z10" s="10" t="str">
        <f>'N TRIBUTARIO'!Y185</f>
        <v>1109-111079-001-0 JUCUAPA NORTE</v>
      </c>
      <c r="AA10" s="10" t="str">
        <f>'N TRIBUTARIO'!Z185</f>
        <v>1109 JUCUAPA-NORTE</v>
      </c>
      <c r="AB10" s="10">
        <f>'N TRIBUTARIO'!AA185</f>
        <v>0</v>
      </c>
      <c r="AC10" s="10">
        <f>'N TRIBUTARIO'!AB185</f>
        <v>0</v>
      </c>
      <c r="AD10" s="10">
        <f>'N TRIBUTARIO'!AC185</f>
        <v>0</v>
      </c>
    </row>
    <row r="11" spans="1:30" ht="19" customHeight="1" x14ac:dyDescent="0.4">
      <c r="A11" s="10">
        <f>'N TRIBUTARIO'!A186</f>
        <v>0</v>
      </c>
      <c r="B11" s="10" t="str">
        <f>'N TRIBUTARIO'!B186</f>
        <v>11</v>
      </c>
      <c r="C11" s="10" t="str">
        <f>'N TRIBUTARIO'!C186</f>
        <v>10</v>
      </c>
      <c r="D11" s="10" t="str">
        <f>'N TRIBUTARIO'!D186</f>
        <v>79</v>
      </c>
      <c r="E11" s="10" t="str">
        <f>'N TRIBUTARIO'!E186</f>
        <v>001</v>
      </c>
      <c r="F11" s="10">
        <f>'N TRIBUTARIO'!F186</f>
        <v>1</v>
      </c>
      <c r="G11" s="10">
        <f>'N TRIBUTARIO'!G186</f>
        <v>185</v>
      </c>
      <c r="H11" s="10" t="str">
        <f>'N TRIBUTARIO'!H186</f>
        <v>1110</v>
      </c>
      <c r="I11" s="10">
        <f>'N TRIBUTARIO'!I186</f>
        <v>0</v>
      </c>
      <c r="J11" s="10" t="s">
        <v>725</v>
      </c>
      <c r="K11" s="10" t="str">
        <f>'N TRIBUTARIO'!J186</f>
        <v>JUCUARAN</v>
      </c>
      <c r="L11" s="10" t="str">
        <f>'N TRIBUTARIO'!K186</f>
        <v>ESTE</v>
      </c>
      <c r="M11" s="10" t="str">
        <f>'N TRIBUTARIO'!L186</f>
        <v>USULUTAN</v>
      </c>
      <c r="N11" s="10">
        <f>'N TRIBUTARIO'!M186</f>
        <v>0</v>
      </c>
      <c r="O11" s="10">
        <f>'N TRIBUTARIO'!N186</f>
        <v>0</v>
      </c>
      <c r="P11" s="10">
        <f>'N TRIBUTARIO'!O186</f>
        <v>1</v>
      </c>
      <c r="Q11" s="10">
        <f>'N TRIBUTARIO'!P186</f>
        <v>0</v>
      </c>
      <c r="R11" s="10">
        <f>'N TRIBUTARIO'!Q186</f>
        <v>0</v>
      </c>
      <c r="S11" s="10">
        <f>'N TRIBUTARIO'!R186</f>
        <v>0</v>
      </c>
      <c r="T11" s="10">
        <f>'N TRIBUTARIO'!S186</f>
        <v>0</v>
      </c>
      <c r="U11" s="10" t="str">
        <f>'N TRIBUTARIO'!T186</f>
        <v>-</v>
      </c>
      <c r="V11" s="10" t="str">
        <f>'N TRIBUTARIO'!U186</f>
        <v xml:space="preserve"> </v>
      </c>
      <c r="W11" s="10" t="str">
        <f>'N TRIBUTARIO'!V186</f>
        <v>JUCUARAN-1110-ESTE</v>
      </c>
      <c r="X11" s="10" t="str">
        <f>'N TRIBUTARIO'!W186</f>
        <v>1110-111079-001-1</v>
      </c>
      <c r="Y11" s="10" t="str">
        <f>'N TRIBUTARIO'!X186</f>
        <v>JUCUARAN ESTE</v>
      </c>
      <c r="Z11" s="10" t="str">
        <f>'N TRIBUTARIO'!Y186</f>
        <v>1110-111079-001-1 JUCUARAN ESTE</v>
      </c>
      <c r="AA11" s="10" t="str">
        <f>'N TRIBUTARIO'!Z186</f>
        <v>1110 JUCUARAN-ESTE</v>
      </c>
      <c r="AB11" s="10">
        <f>'N TRIBUTARIO'!AA186</f>
        <v>0</v>
      </c>
      <c r="AC11" s="10">
        <f>'N TRIBUTARIO'!AB186</f>
        <v>0</v>
      </c>
      <c r="AD11" s="10">
        <f>'N TRIBUTARIO'!AC186</f>
        <v>0</v>
      </c>
    </row>
    <row r="12" spans="1:30" ht="19" customHeight="1" x14ac:dyDescent="0.4">
      <c r="A12" s="10">
        <f>'N TRIBUTARIO'!A187</f>
        <v>0</v>
      </c>
      <c r="B12" s="10" t="str">
        <f>'N TRIBUTARIO'!B187</f>
        <v>11</v>
      </c>
      <c r="C12" s="10" t="str">
        <f>'N TRIBUTARIO'!C187</f>
        <v>10</v>
      </c>
      <c r="D12" s="10" t="str">
        <f>'N TRIBUTARIO'!D187</f>
        <v>79</v>
      </c>
      <c r="E12" s="10" t="str">
        <f>'N TRIBUTARIO'!E187</f>
        <v>001</v>
      </c>
      <c r="F12" s="10">
        <f>'N TRIBUTARIO'!F187</f>
        <v>1</v>
      </c>
      <c r="G12" s="10">
        <f>'N TRIBUTARIO'!G187</f>
        <v>186</v>
      </c>
      <c r="H12" s="10" t="str">
        <f>'N TRIBUTARIO'!H187</f>
        <v>1111</v>
      </c>
      <c r="I12" s="10">
        <f>'N TRIBUTARIO'!I187</f>
        <v>0</v>
      </c>
      <c r="J12" s="10" t="s">
        <v>725</v>
      </c>
      <c r="K12" s="10" t="str">
        <f>'N TRIBUTARIO'!J187</f>
        <v>MERCEDES UMAÑA</v>
      </c>
      <c r="L12" s="10" t="str">
        <f>'N TRIBUTARIO'!K187</f>
        <v>NORTE</v>
      </c>
      <c r="M12" s="10" t="str">
        <f>'N TRIBUTARIO'!L187</f>
        <v>USULUTAN</v>
      </c>
      <c r="N12" s="10">
        <f>'N TRIBUTARIO'!M187</f>
        <v>0</v>
      </c>
      <c r="O12" s="10">
        <f>'N TRIBUTARIO'!N187</f>
        <v>0</v>
      </c>
      <c r="P12" s="10">
        <f>'N TRIBUTARIO'!O187</f>
        <v>0</v>
      </c>
      <c r="Q12" s="10">
        <f>'N TRIBUTARIO'!P187</f>
        <v>1</v>
      </c>
      <c r="R12" s="10">
        <f>'N TRIBUTARIO'!Q187</f>
        <v>0</v>
      </c>
      <c r="S12" s="10">
        <f>'N TRIBUTARIO'!R187</f>
        <v>0</v>
      </c>
      <c r="T12" s="10">
        <f>'N TRIBUTARIO'!S187</f>
        <v>0</v>
      </c>
      <c r="U12" s="10" t="str">
        <f>'N TRIBUTARIO'!T187</f>
        <v>-</v>
      </c>
      <c r="V12" s="10" t="str">
        <f>'N TRIBUTARIO'!U187</f>
        <v xml:space="preserve"> </v>
      </c>
      <c r="W12" s="10" t="str">
        <f>'N TRIBUTARIO'!V187</f>
        <v>MERCEDES UMAÑA-1111-NORTE</v>
      </c>
      <c r="X12" s="10" t="str">
        <f>'N TRIBUTARIO'!W187</f>
        <v>1111-111079-001-1</v>
      </c>
      <c r="Y12" s="10" t="str">
        <f>'N TRIBUTARIO'!X187</f>
        <v>MERCEDES UMAÑA NORTE</v>
      </c>
      <c r="Z12" s="10" t="str">
        <f>'N TRIBUTARIO'!Y187</f>
        <v>1111-111079-001-1 MERCEDES UMAÑA NORTE</v>
      </c>
      <c r="AA12" s="10" t="str">
        <f>'N TRIBUTARIO'!Z187</f>
        <v>1111 MERCEDES UMAÑA-NORTE</v>
      </c>
      <c r="AB12" s="10">
        <f>'N TRIBUTARIO'!AA187</f>
        <v>0</v>
      </c>
      <c r="AC12" s="10">
        <f>'N TRIBUTARIO'!AB187</f>
        <v>0</v>
      </c>
      <c r="AD12" s="10">
        <f>'N TRIBUTARIO'!AC187</f>
        <v>0</v>
      </c>
    </row>
    <row r="13" spans="1:30" ht="19" customHeight="1" x14ac:dyDescent="0.4">
      <c r="A13" s="10">
        <f>'N TRIBUTARIO'!A188</f>
        <v>0</v>
      </c>
      <c r="B13" s="10" t="str">
        <f>'N TRIBUTARIO'!B188</f>
        <v>11</v>
      </c>
      <c r="C13" s="10" t="str">
        <f>'N TRIBUTARIO'!C188</f>
        <v>10</v>
      </c>
      <c r="D13" s="10" t="str">
        <f>'N TRIBUTARIO'!D188</f>
        <v>79</v>
      </c>
      <c r="E13" s="10" t="str">
        <f>'N TRIBUTARIO'!E188</f>
        <v>001</v>
      </c>
      <c r="F13" s="10">
        <f>'N TRIBUTARIO'!F188</f>
        <v>1</v>
      </c>
      <c r="G13" s="10">
        <f>'N TRIBUTARIO'!G188</f>
        <v>187</v>
      </c>
      <c r="H13" s="10" t="str">
        <f>'N TRIBUTARIO'!H188</f>
        <v>1112</v>
      </c>
      <c r="I13" s="10">
        <f>'N TRIBUTARIO'!I188</f>
        <v>0</v>
      </c>
      <c r="J13" s="10" t="s">
        <v>725</v>
      </c>
      <c r="K13" s="10" t="str">
        <f>'N TRIBUTARIO'!J188</f>
        <v>NUEVA GRANADA</v>
      </c>
      <c r="L13" s="10" t="str">
        <f>'N TRIBUTARIO'!K188</f>
        <v>NORTE</v>
      </c>
      <c r="M13" s="10" t="str">
        <f>'N TRIBUTARIO'!L188</f>
        <v>USULUTAN</v>
      </c>
      <c r="N13" s="10">
        <f>'N TRIBUTARIO'!M188</f>
        <v>0</v>
      </c>
      <c r="O13" s="10">
        <f>'N TRIBUTARIO'!N188</f>
        <v>0</v>
      </c>
      <c r="P13" s="10">
        <f>'N TRIBUTARIO'!O188</f>
        <v>0</v>
      </c>
      <c r="Q13" s="10">
        <f>'N TRIBUTARIO'!P188</f>
        <v>1</v>
      </c>
      <c r="R13" s="10">
        <f>'N TRIBUTARIO'!Q188</f>
        <v>0</v>
      </c>
      <c r="S13" s="10">
        <f>'N TRIBUTARIO'!R188</f>
        <v>0</v>
      </c>
      <c r="T13" s="10">
        <f>'N TRIBUTARIO'!S188</f>
        <v>0</v>
      </c>
      <c r="U13" s="10" t="str">
        <f>'N TRIBUTARIO'!T188</f>
        <v>-</v>
      </c>
      <c r="V13" s="10" t="str">
        <f>'N TRIBUTARIO'!U188</f>
        <v xml:space="preserve"> </v>
      </c>
      <c r="W13" s="10" t="str">
        <f>'N TRIBUTARIO'!V188</f>
        <v>NUEVA GRANADA-1112-NORTE</v>
      </c>
      <c r="X13" s="10" t="str">
        <f>'N TRIBUTARIO'!W188</f>
        <v>1112-111079-001-1</v>
      </c>
      <c r="Y13" s="10" t="str">
        <f>'N TRIBUTARIO'!X188</f>
        <v>NUEVA GRANADA NORTE</v>
      </c>
      <c r="Z13" s="10" t="str">
        <f>'N TRIBUTARIO'!Y188</f>
        <v>1112-111079-001-1 NUEVA GRANADA NORTE</v>
      </c>
      <c r="AA13" s="10" t="str">
        <f>'N TRIBUTARIO'!Z188</f>
        <v>1112 NUEVA GRANADA-NORTE</v>
      </c>
      <c r="AB13" s="10">
        <f>'N TRIBUTARIO'!AA188</f>
        <v>0</v>
      </c>
      <c r="AC13" s="10">
        <f>'N TRIBUTARIO'!AB188</f>
        <v>0</v>
      </c>
      <c r="AD13" s="10">
        <f>'N TRIBUTARIO'!AC188</f>
        <v>0</v>
      </c>
    </row>
    <row r="14" spans="1:30" ht="19" customHeight="1" x14ac:dyDescent="0.4">
      <c r="A14" s="10">
        <f>'N TRIBUTARIO'!A189</f>
        <v>0</v>
      </c>
      <c r="B14" s="10" t="str">
        <f>'N TRIBUTARIO'!B189</f>
        <v>11</v>
      </c>
      <c r="C14" s="10" t="str">
        <f>'N TRIBUTARIO'!C189</f>
        <v>10</v>
      </c>
      <c r="D14" s="10" t="str">
        <f>'N TRIBUTARIO'!D189</f>
        <v>79</v>
      </c>
      <c r="E14" s="10" t="str">
        <f>'N TRIBUTARIO'!E189</f>
        <v>001</v>
      </c>
      <c r="F14" s="10">
        <f>'N TRIBUTARIO'!F189</f>
        <v>1</v>
      </c>
      <c r="G14" s="10">
        <f>'N TRIBUTARIO'!G189</f>
        <v>188</v>
      </c>
      <c r="H14" s="10" t="str">
        <f>'N TRIBUTARIO'!H189</f>
        <v>1113</v>
      </c>
      <c r="I14" s="10">
        <f>'N TRIBUTARIO'!I189</f>
        <v>0</v>
      </c>
      <c r="J14" s="10" t="s">
        <v>725</v>
      </c>
      <c r="K14" s="10" t="str">
        <f>'N TRIBUTARIO'!J189</f>
        <v>OZATLAN</v>
      </c>
      <c r="L14" s="10" t="str">
        <f>'N TRIBUTARIO'!K189</f>
        <v>ESTE</v>
      </c>
      <c r="M14" s="10" t="str">
        <f>'N TRIBUTARIO'!L189</f>
        <v>USULUTAN</v>
      </c>
      <c r="N14" s="10">
        <f>'N TRIBUTARIO'!M189</f>
        <v>0</v>
      </c>
      <c r="O14" s="10">
        <f>'N TRIBUTARIO'!N189</f>
        <v>0</v>
      </c>
      <c r="P14" s="10">
        <f>'N TRIBUTARIO'!O189</f>
        <v>1</v>
      </c>
      <c r="Q14" s="10">
        <f>'N TRIBUTARIO'!P189</f>
        <v>0</v>
      </c>
      <c r="R14" s="10">
        <f>'N TRIBUTARIO'!Q189</f>
        <v>0</v>
      </c>
      <c r="S14" s="10">
        <f>'N TRIBUTARIO'!R189</f>
        <v>0</v>
      </c>
      <c r="T14" s="10">
        <f>'N TRIBUTARIO'!S189</f>
        <v>0</v>
      </c>
      <c r="U14" s="10" t="str">
        <f>'N TRIBUTARIO'!T189</f>
        <v>-</v>
      </c>
      <c r="V14" s="10" t="str">
        <f>'N TRIBUTARIO'!U189</f>
        <v xml:space="preserve"> </v>
      </c>
      <c r="W14" s="10" t="str">
        <f>'N TRIBUTARIO'!V189</f>
        <v>OZATLAN-1113-ESTE</v>
      </c>
      <c r="X14" s="10" t="str">
        <f>'N TRIBUTARIO'!W189</f>
        <v>1113-111079-001-1</v>
      </c>
      <c r="Y14" s="10" t="str">
        <f>'N TRIBUTARIO'!X189</f>
        <v>OZATLAN ESTE</v>
      </c>
      <c r="Z14" s="10" t="str">
        <f>'N TRIBUTARIO'!Y189</f>
        <v>1113-111079-001-1 OZATLAN ESTE</v>
      </c>
      <c r="AA14" s="10" t="str">
        <f>'N TRIBUTARIO'!Z189</f>
        <v>1113 OZATLAN-ESTE</v>
      </c>
      <c r="AB14" s="10">
        <f>'N TRIBUTARIO'!AA189</f>
        <v>0</v>
      </c>
      <c r="AC14" s="10">
        <f>'N TRIBUTARIO'!AB189</f>
        <v>0</v>
      </c>
      <c r="AD14" s="10">
        <f>'N TRIBUTARIO'!AC189</f>
        <v>0</v>
      </c>
    </row>
    <row r="15" spans="1:30" ht="19" customHeight="1" x14ac:dyDescent="0.4">
      <c r="A15" s="10">
        <f>'N TRIBUTARIO'!A190</f>
        <v>0</v>
      </c>
      <c r="B15" s="10" t="str">
        <f>'N TRIBUTARIO'!B190</f>
        <v>11</v>
      </c>
      <c r="C15" s="10" t="str">
        <f>'N TRIBUTARIO'!C190</f>
        <v>10</v>
      </c>
      <c r="D15" s="10" t="str">
        <f>'N TRIBUTARIO'!D190</f>
        <v>79</v>
      </c>
      <c r="E15" s="10" t="str">
        <f>'N TRIBUTARIO'!E190</f>
        <v>001</v>
      </c>
      <c r="F15" s="10">
        <f>'N TRIBUTARIO'!F190</f>
        <v>1</v>
      </c>
      <c r="G15" s="10">
        <f>'N TRIBUTARIO'!G190</f>
        <v>189</v>
      </c>
      <c r="H15" s="10" t="str">
        <f>'N TRIBUTARIO'!H190</f>
        <v>1114</v>
      </c>
      <c r="I15" s="10">
        <f>'N TRIBUTARIO'!I190</f>
        <v>0</v>
      </c>
      <c r="J15" s="10" t="s">
        <v>725</v>
      </c>
      <c r="K15" s="10" t="str">
        <f>'N TRIBUTARIO'!J190</f>
        <v>PUERTO EL TRIUNFO</v>
      </c>
      <c r="L15" s="10" t="str">
        <f>'N TRIBUTARIO'!K190</f>
        <v>OESTE</v>
      </c>
      <c r="M15" s="10" t="str">
        <f>'N TRIBUTARIO'!L190</f>
        <v>USULUTAN</v>
      </c>
      <c r="N15" s="10">
        <f>'N TRIBUTARIO'!M190</f>
        <v>0</v>
      </c>
      <c r="O15" s="10">
        <f>'N TRIBUTARIO'!N190</f>
        <v>0</v>
      </c>
      <c r="P15" s="10">
        <f>'N TRIBUTARIO'!O190</f>
        <v>0</v>
      </c>
      <c r="Q15" s="10">
        <f>'N TRIBUTARIO'!P190</f>
        <v>0</v>
      </c>
      <c r="R15" s="10">
        <f>'N TRIBUTARIO'!Q190</f>
        <v>1</v>
      </c>
      <c r="S15" s="10">
        <f>'N TRIBUTARIO'!R190</f>
        <v>0</v>
      </c>
      <c r="T15" s="10">
        <f>'N TRIBUTARIO'!S190</f>
        <v>0</v>
      </c>
      <c r="U15" s="10" t="str">
        <f>'N TRIBUTARIO'!T190</f>
        <v>-</v>
      </c>
      <c r="V15" s="10" t="str">
        <f>'N TRIBUTARIO'!U190</f>
        <v xml:space="preserve"> </v>
      </c>
      <c r="W15" s="10" t="str">
        <f>'N TRIBUTARIO'!V190</f>
        <v>PUERTO EL TRIUNFO-1114-OESTE</v>
      </c>
      <c r="X15" s="10" t="str">
        <f>'N TRIBUTARIO'!W190</f>
        <v>1114-111079-001-1</v>
      </c>
      <c r="Y15" s="10" t="str">
        <f>'N TRIBUTARIO'!X190</f>
        <v>PUERTO EL TRIUNFO OESTE</v>
      </c>
      <c r="Z15" s="10" t="str">
        <f>'N TRIBUTARIO'!Y190</f>
        <v>1114-111079-001-1 PUERTO EL TRIUNFO OESTE</v>
      </c>
      <c r="AA15" s="10" t="str">
        <f>'N TRIBUTARIO'!Z190</f>
        <v>1114 PUERTO EL TRIUNFO-OESTE</v>
      </c>
      <c r="AB15" s="10">
        <f>'N TRIBUTARIO'!AA190</f>
        <v>0</v>
      </c>
      <c r="AC15" s="10">
        <f>'N TRIBUTARIO'!AB190</f>
        <v>0</v>
      </c>
      <c r="AD15" s="10">
        <f>'N TRIBUTARIO'!AC190</f>
        <v>0</v>
      </c>
    </row>
    <row r="16" spans="1:30" ht="19" customHeight="1" x14ac:dyDescent="0.4">
      <c r="A16" s="10">
        <f>'N TRIBUTARIO'!A191</f>
        <v>0</v>
      </c>
      <c r="B16" s="10" t="str">
        <f>'N TRIBUTARIO'!B191</f>
        <v>11</v>
      </c>
      <c r="C16" s="10" t="str">
        <f>'N TRIBUTARIO'!C191</f>
        <v>10</v>
      </c>
      <c r="D16" s="10" t="str">
        <f>'N TRIBUTARIO'!D191</f>
        <v>79</v>
      </c>
      <c r="E16" s="10" t="str">
        <f>'N TRIBUTARIO'!E191</f>
        <v>001</v>
      </c>
      <c r="F16" s="10">
        <f>'N TRIBUTARIO'!F191</f>
        <v>1</v>
      </c>
      <c r="G16" s="10">
        <f>'N TRIBUTARIO'!G191</f>
        <v>190</v>
      </c>
      <c r="H16" s="10" t="str">
        <f>'N TRIBUTARIO'!H191</f>
        <v>1115</v>
      </c>
      <c r="I16" s="10">
        <f>'N TRIBUTARIO'!I191</f>
        <v>0</v>
      </c>
      <c r="J16" s="10" t="s">
        <v>725</v>
      </c>
      <c r="K16" s="10" t="str">
        <f>'N TRIBUTARIO'!J191</f>
        <v>SAN AGUSTIN</v>
      </c>
      <c r="L16" s="10" t="str">
        <f>'N TRIBUTARIO'!K191</f>
        <v>OESTE</v>
      </c>
      <c r="M16" s="10" t="str">
        <f>'N TRIBUTARIO'!L191</f>
        <v>USULUTAN</v>
      </c>
      <c r="N16" s="10">
        <f>'N TRIBUTARIO'!M191</f>
        <v>0</v>
      </c>
      <c r="O16" s="10">
        <f>'N TRIBUTARIO'!N191</f>
        <v>0</v>
      </c>
      <c r="P16" s="10">
        <f>'N TRIBUTARIO'!O191</f>
        <v>0</v>
      </c>
      <c r="Q16" s="10">
        <f>'N TRIBUTARIO'!P191</f>
        <v>0</v>
      </c>
      <c r="R16" s="10">
        <f>'N TRIBUTARIO'!Q191</f>
        <v>1</v>
      </c>
      <c r="S16" s="10">
        <f>'N TRIBUTARIO'!R191</f>
        <v>0</v>
      </c>
      <c r="T16" s="10">
        <f>'N TRIBUTARIO'!S191</f>
        <v>0</v>
      </c>
      <c r="U16" s="10" t="str">
        <f>'N TRIBUTARIO'!T191</f>
        <v>-</v>
      </c>
      <c r="V16" s="10" t="str">
        <f>'N TRIBUTARIO'!U191</f>
        <v xml:space="preserve"> </v>
      </c>
      <c r="W16" s="10" t="str">
        <f>'N TRIBUTARIO'!V191</f>
        <v>SAN AGUSTIN-1115-OESTE</v>
      </c>
      <c r="X16" s="10" t="str">
        <f>'N TRIBUTARIO'!W191</f>
        <v>1115-111079-001-1</v>
      </c>
      <c r="Y16" s="10" t="str">
        <f>'N TRIBUTARIO'!X191</f>
        <v>SAN AGUSTIN OESTE</v>
      </c>
      <c r="Z16" s="10" t="str">
        <f>'N TRIBUTARIO'!Y191</f>
        <v>1115-111079-001-1 SAN AGUSTIN OESTE</v>
      </c>
      <c r="AA16" s="10" t="str">
        <f>'N TRIBUTARIO'!Z191</f>
        <v>1115 SAN AGUSTIN-OESTE</v>
      </c>
      <c r="AB16" s="10">
        <f>'N TRIBUTARIO'!AA191</f>
        <v>0</v>
      </c>
      <c r="AC16" s="10">
        <f>'N TRIBUTARIO'!AB191</f>
        <v>0</v>
      </c>
      <c r="AD16" s="10">
        <f>'N TRIBUTARIO'!AC191</f>
        <v>0</v>
      </c>
    </row>
    <row r="17" spans="1:30" ht="19" customHeight="1" x14ac:dyDescent="0.4">
      <c r="A17" s="10">
        <f>'N TRIBUTARIO'!A192</f>
        <v>0</v>
      </c>
      <c r="B17" s="10" t="str">
        <f>'N TRIBUTARIO'!B192</f>
        <v>11</v>
      </c>
      <c r="C17" s="10" t="str">
        <f>'N TRIBUTARIO'!C192</f>
        <v>10</v>
      </c>
      <c r="D17" s="10" t="str">
        <f>'N TRIBUTARIO'!D192</f>
        <v>79</v>
      </c>
      <c r="E17" s="10" t="str">
        <f>'N TRIBUTARIO'!E192</f>
        <v>001</v>
      </c>
      <c r="F17" s="10">
        <f>'N TRIBUTARIO'!F192</f>
        <v>1</v>
      </c>
      <c r="G17" s="10">
        <f>'N TRIBUTARIO'!G192</f>
        <v>191</v>
      </c>
      <c r="H17" s="10" t="str">
        <f>'N TRIBUTARIO'!H192</f>
        <v>1116</v>
      </c>
      <c r="I17" s="10">
        <f>'N TRIBUTARIO'!I192</f>
        <v>0</v>
      </c>
      <c r="J17" s="10" t="s">
        <v>725</v>
      </c>
      <c r="K17" s="10" t="str">
        <f>'N TRIBUTARIO'!J192</f>
        <v>SAN BUENAVENTURA</v>
      </c>
      <c r="L17" s="10" t="str">
        <f>'N TRIBUTARIO'!K192</f>
        <v>NORTE</v>
      </c>
      <c r="M17" s="10" t="str">
        <f>'N TRIBUTARIO'!L192</f>
        <v>USULUTAN</v>
      </c>
      <c r="N17" s="10">
        <f>'N TRIBUTARIO'!M192</f>
        <v>0</v>
      </c>
      <c r="O17" s="10">
        <f>'N TRIBUTARIO'!N192</f>
        <v>0</v>
      </c>
      <c r="P17" s="10">
        <f>'N TRIBUTARIO'!O192</f>
        <v>0</v>
      </c>
      <c r="Q17" s="10">
        <f>'N TRIBUTARIO'!P192</f>
        <v>1</v>
      </c>
      <c r="R17" s="10">
        <f>'N TRIBUTARIO'!Q192</f>
        <v>0</v>
      </c>
      <c r="S17" s="10">
        <f>'N TRIBUTARIO'!R192</f>
        <v>0</v>
      </c>
      <c r="T17" s="10">
        <f>'N TRIBUTARIO'!S192</f>
        <v>0</v>
      </c>
      <c r="U17" s="10" t="str">
        <f>'N TRIBUTARIO'!T192</f>
        <v>-</v>
      </c>
      <c r="V17" s="10" t="str">
        <f>'N TRIBUTARIO'!U192</f>
        <v xml:space="preserve"> </v>
      </c>
      <c r="W17" s="10" t="str">
        <f>'N TRIBUTARIO'!V192</f>
        <v>SAN BUENAVENTURA-1116-NORTE</v>
      </c>
      <c r="X17" s="10" t="str">
        <f>'N TRIBUTARIO'!W192</f>
        <v>1116-111079-001-1</v>
      </c>
      <c r="Y17" s="10" t="str">
        <f>'N TRIBUTARIO'!X192</f>
        <v>SAN BUENAVENTURA NORTE</v>
      </c>
      <c r="Z17" s="10" t="str">
        <f>'N TRIBUTARIO'!Y192</f>
        <v>1116-111079-001-1 SAN BUENAVENTURA NORTE</v>
      </c>
      <c r="AA17" s="10" t="str">
        <f>'N TRIBUTARIO'!Z192</f>
        <v>1116 SAN BUENAVENTURA-NORTE</v>
      </c>
      <c r="AB17" s="10">
        <f>'N TRIBUTARIO'!AA192</f>
        <v>0</v>
      </c>
      <c r="AC17" s="10">
        <f>'N TRIBUTARIO'!AB192</f>
        <v>0</v>
      </c>
      <c r="AD17" s="10">
        <f>'N TRIBUTARIO'!AC192</f>
        <v>0</v>
      </c>
    </row>
    <row r="18" spans="1:30" ht="19" customHeight="1" x14ac:dyDescent="0.4">
      <c r="A18" s="10">
        <f>'N TRIBUTARIO'!A193</f>
        <v>0</v>
      </c>
      <c r="B18" s="10" t="str">
        <f>'N TRIBUTARIO'!B193</f>
        <v>11</v>
      </c>
      <c r="C18" s="10" t="str">
        <f>'N TRIBUTARIO'!C193</f>
        <v>10</v>
      </c>
      <c r="D18" s="10" t="str">
        <f>'N TRIBUTARIO'!D193</f>
        <v>79</v>
      </c>
      <c r="E18" s="10" t="str">
        <f>'N TRIBUTARIO'!E193</f>
        <v>001</v>
      </c>
      <c r="F18" s="10">
        <f>'N TRIBUTARIO'!F193</f>
        <v>1</v>
      </c>
      <c r="G18" s="10">
        <f>'N TRIBUTARIO'!G193</f>
        <v>192</v>
      </c>
      <c r="H18" s="10" t="str">
        <f>'N TRIBUTARIO'!H193</f>
        <v>1117</v>
      </c>
      <c r="I18" s="10">
        <f>'N TRIBUTARIO'!I193</f>
        <v>0</v>
      </c>
      <c r="J18" s="10" t="s">
        <v>725</v>
      </c>
      <c r="K18" s="10" t="str">
        <f>'N TRIBUTARIO'!J193</f>
        <v>SAN DIONISIO</v>
      </c>
      <c r="L18" s="10" t="str">
        <f>'N TRIBUTARIO'!K193</f>
        <v>ESTE</v>
      </c>
      <c r="M18" s="10" t="str">
        <f>'N TRIBUTARIO'!L193</f>
        <v>USULUTAN</v>
      </c>
      <c r="N18" s="10">
        <f>'N TRIBUTARIO'!M193</f>
        <v>0</v>
      </c>
      <c r="O18" s="10">
        <f>'N TRIBUTARIO'!N193</f>
        <v>0</v>
      </c>
      <c r="P18" s="10">
        <f>'N TRIBUTARIO'!O193</f>
        <v>1</v>
      </c>
      <c r="Q18" s="10">
        <f>'N TRIBUTARIO'!P193</f>
        <v>0</v>
      </c>
      <c r="R18" s="10">
        <f>'N TRIBUTARIO'!Q193</f>
        <v>0</v>
      </c>
      <c r="S18" s="10">
        <f>'N TRIBUTARIO'!R193</f>
        <v>0</v>
      </c>
      <c r="T18" s="10">
        <f>'N TRIBUTARIO'!S193</f>
        <v>0</v>
      </c>
      <c r="U18" s="10" t="str">
        <f>'N TRIBUTARIO'!T193</f>
        <v>-</v>
      </c>
      <c r="V18" s="10" t="str">
        <f>'N TRIBUTARIO'!U193</f>
        <v xml:space="preserve"> </v>
      </c>
      <c r="W18" s="10" t="str">
        <f>'N TRIBUTARIO'!V193</f>
        <v>SAN DIONISIO-1117-ESTE</v>
      </c>
      <c r="X18" s="10" t="str">
        <f>'N TRIBUTARIO'!W193</f>
        <v>1117-111079-001-1</v>
      </c>
      <c r="Y18" s="10" t="str">
        <f>'N TRIBUTARIO'!X193</f>
        <v>SAN DIONISIO ESTE</v>
      </c>
      <c r="Z18" s="10" t="str">
        <f>'N TRIBUTARIO'!Y193</f>
        <v>1117-111079-001-1 SAN DIONISIO ESTE</v>
      </c>
      <c r="AA18" s="10" t="str">
        <f>'N TRIBUTARIO'!Z193</f>
        <v>1117 SAN DIONISIO-ESTE</v>
      </c>
      <c r="AB18" s="10">
        <f>'N TRIBUTARIO'!AA193</f>
        <v>0</v>
      </c>
      <c r="AC18" s="10">
        <f>'N TRIBUTARIO'!AB193</f>
        <v>0</v>
      </c>
      <c r="AD18" s="10">
        <f>'N TRIBUTARIO'!AC193</f>
        <v>0</v>
      </c>
    </row>
    <row r="19" spans="1:30" ht="19" customHeight="1" x14ac:dyDescent="0.4">
      <c r="A19" s="10">
        <f>'N TRIBUTARIO'!A194</f>
        <v>0</v>
      </c>
      <c r="B19" s="10" t="str">
        <f>'N TRIBUTARIO'!B194</f>
        <v>11</v>
      </c>
      <c r="C19" s="10" t="str">
        <f>'N TRIBUTARIO'!C194</f>
        <v>10</v>
      </c>
      <c r="D19" s="10" t="str">
        <f>'N TRIBUTARIO'!D194</f>
        <v>79</v>
      </c>
      <c r="E19" s="10" t="str">
        <f>'N TRIBUTARIO'!E194</f>
        <v>001</v>
      </c>
      <c r="F19" s="10">
        <f>'N TRIBUTARIO'!F194</f>
        <v>1</v>
      </c>
      <c r="G19" s="10">
        <f>'N TRIBUTARIO'!G194</f>
        <v>193</v>
      </c>
      <c r="H19" s="10" t="str">
        <f>'N TRIBUTARIO'!H194</f>
        <v>1118</v>
      </c>
      <c r="I19" s="10">
        <f>'N TRIBUTARIO'!I194</f>
        <v>0</v>
      </c>
      <c r="J19" s="10" t="s">
        <v>725</v>
      </c>
      <c r="K19" s="10" t="str">
        <f>'N TRIBUTARIO'!J194</f>
        <v>SANTA ELENA</v>
      </c>
      <c r="L19" s="10" t="str">
        <f>'N TRIBUTARIO'!K194</f>
        <v>ESTE</v>
      </c>
      <c r="M19" s="10" t="str">
        <f>'N TRIBUTARIO'!L194</f>
        <v>USULUTAN</v>
      </c>
      <c r="N19" s="10">
        <f>'N TRIBUTARIO'!M194</f>
        <v>0</v>
      </c>
      <c r="O19" s="10">
        <f>'N TRIBUTARIO'!N194</f>
        <v>0</v>
      </c>
      <c r="P19" s="10">
        <f>'N TRIBUTARIO'!O194</f>
        <v>1</v>
      </c>
      <c r="Q19" s="10">
        <f>'N TRIBUTARIO'!P194</f>
        <v>0</v>
      </c>
      <c r="R19" s="10">
        <f>'N TRIBUTARIO'!Q194</f>
        <v>0</v>
      </c>
      <c r="S19" s="10">
        <f>'N TRIBUTARIO'!R194</f>
        <v>0</v>
      </c>
      <c r="T19" s="10">
        <f>'N TRIBUTARIO'!S194</f>
        <v>0</v>
      </c>
      <c r="U19" s="10" t="str">
        <f>'N TRIBUTARIO'!T194</f>
        <v>-</v>
      </c>
      <c r="V19" s="10" t="str">
        <f>'N TRIBUTARIO'!U194</f>
        <v xml:space="preserve"> </v>
      </c>
      <c r="W19" s="10" t="str">
        <f>'N TRIBUTARIO'!V194</f>
        <v>SANTA ELENA-1118-ESTE</v>
      </c>
      <c r="X19" s="10" t="str">
        <f>'N TRIBUTARIO'!W194</f>
        <v>1118-111079-001-1</v>
      </c>
      <c r="Y19" s="10" t="str">
        <f>'N TRIBUTARIO'!X194</f>
        <v>SANTA ELENA ESTE</v>
      </c>
      <c r="Z19" s="10" t="str">
        <f>'N TRIBUTARIO'!Y194</f>
        <v>1118-111079-001-1 SANTA ELENA ESTE</v>
      </c>
      <c r="AA19" s="10" t="str">
        <f>'N TRIBUTARIO'!Z194</f>
        <v>1118 SANTA ELENA-ESTE</v>
      </c>
      <c r="AB19" s="10">
        <f>'N TRIBUTARIO'!AA194</f>
        <v>0</v>
      </c>
      <c r="AC19" s="10">
        <f>'N TRIBUTARIO'!AB194</f>
        <v>0</v>
      </c>
      <c r="AD19" s="10">
        <f>'N TRIBUTARIO'!AC194</f>
        <v>0</v>
      </c>
    </row>
    <row r="20" spans="1:30" ht="19" customHeight="1" x14ac:dyDescent="0.4">
      <c r="A20" s="10">
        <f>'N TRIBUTARIO'!A195</f>
        <v>0</v>
      </c>
      <c r="B20" s="10" t="str">
        <f>'N TRIBUTARIO'!B195</f>
        <v>11</v>
      </c>
      <c r="C20" s="10" t="str">
        <f>'N TRIBUTARIO'!C195</f>
        <v>10</v>
      </c>
      <c r="D20" s="10" t="str">
        <f>'N TRIBUTARIO'!D195</f>
        <v>79</v>
      </c>
      <c r="E20" s="10" t="str">
        <f>'N TRIBUTARIO'!E195</f>
        <v>001</v>
      </c>
      <c r="F20" s="10">
        <f>'N TRIBUTARIO'!F195</f>
        <v>1</v>
      </c>
      <c r="G20" s="10">
        <f>'N TRIBUTARIO'!G195</f>
        <v>194</v>
      </c>
      <c r="H20" s="10" t="str">
        <f>'N TRIBUTARIO'!H195</f>
        <v>1119</v>
      </c>
      <c r="I20" s="10">
        <f>'N TRIBUTARIO'!I195</f>
        <v>0</v>
      </c>
      <c r="J20" s="10" t="s">
        <v>725</v>
      </c>
      <c r="K20" s="10" t="str">
        <f>'N TRIBUTARIO'!J195</f>
        <v>SAN FRANCISCO JAVIER</v>
      </c>
      <c r="L20" s="10" t="str">
        <f>'N TRIBUTARIO'!K195</f>
        <v>OESTE</v>
      </c>
      <c r="M20" s="10" t="str">
        <f>'N TRIBUTARIO'!L195</f>
        <v>USULUTAN</v>
      </c>
      <c r="N20" s="10">
        <f>'N TRIBUTARIO'!M195</f>
        <v>0</v>
      </c>
      <c r="O20" s="10">
        <f>'N TRIBUTARIO'!N195</f>
        <v>0</v>
      </c>
      <c r="P20" s="10">
        <f>'N TRIBUTARIO'!O195</f>
        <v>0</v>
      </c>
      <c r="Q20" s="10">
        <f>'N TRIBUTARIO'!P195</f>
        <v>0</v>
      </c>
      <c r="R20" s="10">
        <f>'N TRIBUTARIO'!Q195</f>
        <v>1</v>
      </c>
      <c r="S20" s="10">
        <f>'N TRIBUTARIO'!R195</f>
        <v>0</v>
      </c>
      <c r="T20" s="10">
        <f>'N TRIBUTARIO'!S195</f>
        <v>0</v>
      </c>
      <c r="U20" s="10" t="str">
        <f>'N TRIBUTARIO'!T195</f>
        <v>-</v>
      </c>
      <c r="V20" s="10" t="str">
        <f>'N TRIBUTARIO'!U195</f>
        <v xml:space="preserve"> </v>
      </c>
      <c r="W20" s="10" t="str">
        <f>'N TRIBUTARIO'!V195</f>
        <v>SAN FRANCISCO JAVIER-1119-OESTE</v>
      </c>
      <c r="X20" s="10" t="str">
        <f>'N TRIBUTARIO'!W195</f>
        <v>1119-111079-001-1</v>
      </c>
      <c r="Y20" s="10" t="str">
        <f>'N TRIBUTARIO'!X195</f>
        <v>SAN FRANCISCO JAVIER OESTE</v>
      </c>
      <c r="Z20" s="10" t="str">
        <f>'N TRIBUTARIO'!Y195</f>
        <v>1119-111079-001-1 SAN FRANCISCO JAVIER OESTE</v>
      </c>
      <c r="AA20" s="10" t="str">
        <f>'N TRIBUTARIO'!Z195</f>
        <v>1119 SAN FRANCISCO JAVIER-OESTE</v>
      </c>
      <c r="AB20" s="10">
        <f>'N TRIBUTARIO'!AA195</f>
        <v>0</v>
      </c>
      <c r="AC20" s="10">
        <f>'N TRIBUTARIO'!AB195</f>
        <v>0</v>
      </c>
      <c r="AD20" s="10">
        <f>'N TRIBUTARIO'!AC195</f>
        <v>0</v>
      </c>
    </row>
    <row r="21" spans="1:30" ht="19" customHeight="1" x14ac:dyDescent="0.4">
      <c r="A21" s="10">
        <f>'N TRIBUTARIO'!A196</f>
        <v>0</v>
      </c>
      <c r="B21" s="10" t="str">
        <f>'N TRIBUTARIO'!B196</f>
        <v>11</v>
      </c>
      <c r="C21" s="10" t="str">
        <f>'N TRIBUTARIO'!C196</f>
        <v>10</v>
      </c>
      <c r="D21" s="10" t="str">
        <f>'N TRIBUTARIO'!D196</f>
        <v>79</v>
      </c>
      <c r="E21" s="10" t="str">
        <f>'N TRIBUTARIO'!E196</f>
        <v>001</v>
      </c>
      <c r="F21" s="10">
        <f>'N TRIBUTARIO'!F196</f>
        <v>2</v>
      </c>
      <c r="G21" s="10">
        <f>'N TRIBUTARIO'!G196</f>
        <v>195</v>
      </c>
      <c r="H21" s="10" t="str">
        <f>'N TRIBUTARIO'!H196</f>
        <v>1120</v>
      </c>
      <c r="I21" s="10">
        <f>'N TRIBUTARIO'!I196</f>
        <v>0</v>
      </c>
      <c r="J21" s="10" t="s">
        <v>725</v>
      </c>
      <c r="K21" s="10" t="str">
        <f>'N TRIBUTARIO'!J196</f>
        <v>SANTA MARIA</v>
      </c>
      <c r="L21" s="10" t="str">
        <f>'N TRIBUTARIO'!K196</f>
        <v>ESTE</v>
      </c>
      <c r="M21" s="10" t="str">
        <f>'N TRIBUTARIO'!L196</f>
        <v>USULUTAN</v>
      </c>
      <c r="N21" s="10">
        <f>'N TRIBUTARIO'!M196</f>
        <v>0</v>
      </c>
      <c r="O21" s="10">
        <f>'N TRIBUTARIO'!N196</f>
        <v>0</v>
      </c>
      <c r="P21" s="10">
        <f>'N TRIBUTARIO'!O196</f>
        <v>1</v>
      </c>
      <c r="Q21" s="10">
        <f>'N TRIBUTARIO'!P196</f>
        <v>0</v>
      </c>
      <c r="R21" s="10">
        <f>'N TRIBUTARIO'!Q196</f>
        <v>0</v>
      </c>
      <c r="S21" s="10">
        <f>'N TRIBUTARIO'!R196</f>
        <v>0</v>
      </c>
      <c r="T21" s="10">
        <f>'N TRIBUTARIO'!S196</f>
        <v>0</v>
      </c>
      <c r="U21" s="10" t="str">
        <f>'N TRIBUTARIO'!T196</f>
        <v>-</v>
      </c>
      <c r="V21" s="10" t="str">
        <f>'N TRIBUTARIO'!U196</f>
        <v xml:space="preserve"> </v>
      </c>
      <c r="W21" s="10" t="str">
        <f>'N TRIBUTARIO'!V196</f>
        <v>SANTA MARIA-1120-ESTE</v>
      </c>
      <c r="X21" s="10" t="str">
        <f>'N TRIBUTARIO'!W196</f>
        <v>1120-111079-001-2</v>
      </c>
      <c r="Y21" s="10" t="str">
        <f>'N TRIBUTARIO'!X196</f>
        <v>SANTA MARIA ESTE</v>
      </c>
      <c r="Z21" s="10" t="str">
        <f>'N TRIBUTARIO'!Y196</f>
        <v>1120-111079-001-2 SANTA MARIA ESTE</v>
      </c>
      <c r="AA21" s="10" t="str">
        <f>'N TRIBUTARIO'!Z196</f>
        <v>1120 SANTA MARIA-ESTE</v>
      </c>
      <c r="AB21" s="10">
        <f>'N TRIBUTARIO'!AA196</f>
        <v>0</v>
      </c>
      <c r="AC21" s="10">
        <f>'N TRIBUTARIO'!AB196</f>
        <v>0</v>
      </c>
      <c r="AD21" s="10">
        <f>'N TRIBUTARIO'!AC196</f>
        <v>0</v>
      </c>
    </row>
    <row r="22" spans="1:30" ht="19" customHeight="1" x14ac:dyDescent="0.4">
      <c r="A22" s="10">
        <f>'N TRIBUTARIO'!A197</f>
        <v>0</v>
      </c>
      <c r="B22" s="10" t="str">
        <f>'N TRIBUTARIO'!B197</f>
        <v>08</v>
      </c>
      <c r="C22" s="10" t="str">
        <f>'N TRIBUTARIO'!C197</f>
        <v>07</v>
      </c>
      <c r="D22" s="10" t="str">
        <f>'N TRIBUTARIO'!D197</f>
        <v>77</v>
      </c>
      <c r="E22" s="10" t="str">
        <f>'N TRIBUTARIO'!E197</f>
        <v>001</v>
      </c>
      <c r="F22" s="10">
        <f>'N TRIBUTARIO'!F197</f>
        <v>9</v>
      </c>
      <c r="G22" s="10">
        <f>'N TRIBUTARIO'!G197</f>
        <v>196</v>
      </c>
      <c r="H22" s="10" t="str">
        <f>'N TRIBUTARIO'!H197</f>
        <v>1121</v>
      </c>
      <c r="I22" s="10">
        <f>'N TRIBUTARIO'!I197</f>
        <v>0</v>
      </c>
      <c r="J22" s="10" t="s">
        <v>725</v>
      </c>
      <c r="K22" s="10" t="str">
        <f>'N TRIBUTARIO'!J197</f>
        <v>SANTIAGO DE MARIA</v>
      </c>
      <c r="L22" s="10" t="str">
        <f>'N TRIBUTARIO'!K197</f>
        <v>NORTE</v>
      </c>
      <c r="M22" s="10" t="str">
        <f>'N TRIBUTARIO'!L197</f>
        <v>USULUTAN</v>
      </c>
      <c r="N22" s="10">
        <f>'N TRIBUTARIO'!M197</f>
        <v>0</v>
      </c>
      <c r="O22" s="10">
        <f>'N TRIBUTARIO'!N197</f>
        <v>0</v>
      </c>
      <c r="P22" s="10">
        <f>'N TRIBUTARIO'!O197</f>
        <v>0</v>
      </c>
      <c r="Q22" s="10">
        <f>'N TRIBUTARIO'!P197</f>
        <v>1</v>
      </c>
      <c r="R22" s="10">
        <f>'N TRIBUTARIO'!Q197</f>
        <v>0</v>
      </c>
      <c r="S22" s="10">
        <f>'N TRIBUTARIO'!R197</f>
        <v>0</v>
      </c>
      <c r="T22" s="10">
        <f>'N TRIBUTARIO'!S197</f>
        <v>0</v>
      </c>
      <c r="U22" s="10" t="str">
        <f>'N TRIBUTARIO'!T197</f>
        <v>-</v>
      </c>
      <c r="V22" s="10" t="str">
        <f>'N TRIBUTARIO'!U197</f>
        <v xml:space="preserve"> </v>
      </c>
      <c r="W22" s="10" t="str">
        <f>'N TRIBUTARIO'!V197</f>
        <v>SANTIAGO DE MARIA-1121-NORTE</v>
      </c>
      <c r="X22" s="10" t="str">
        <f>'N TRIBUTARIO'!W197</f>
        <v>1121-080777-001-9</v>
      </c>
      <c r="Y22" s="10" t="str">
        <f>'N TRIBUTARIO'!X197</f>
        <v>SANTIAGO DE MARIA NORTE</v>
      </c>
      <c r="Z22" s="10" t="str">
        <f>'N TRIBUTARIO'!Y197</f>
        <v>1121-080777-001-9 SANTIAGO DE MARIA NORTE</v>
      </c>
      <c r="AA22" s="10" t="str">
        <f>'N TRIBUTARIO'!Z197</f>
        <v>1121 SANTIAGO DE MARIA-NORTE</v>
      </c>
      <c r="AB22" s="10">
        <f>'N TRIBUTARIO'!AA197</f>
        <v>0</v>
      </c>
      <c r="AC22" s="10">
        <f>'N TRIBUTARIO'!AB197</f>
        <v>0</v>
      </c>
      <c r="AD22" s="10">
        <f>'N TRIBUTARIO'!AC197</f>
        <v>0</v>
      </c>
    </row>
    <row r="23" spans="1:30" ht="19" customHeight="1" x14ac:dyDescent="0.4">
      <c r="A23" s="10">
        <f>'N TRIBUTARIO'!A198</f>
        <v>0</v>
      </c>
      <c r="B23" s="10" t="str">
        <f>'N TRIBUTARIO'!B198</f>
        <v>11</v>
      </c>
      <c r="C23" s="10" t="str">
        <f>'N TRIBUTARIO'!C198</f>
        <v>10</v>
      </c>
      <c r="D23" s="10" t="str">
        <f>'N TRIBUTARIO'!D198</f>
        <v>79</v>
      </c>
      <c r="E23" s="10" t="str">
        <f>'N TRIBUTARIO'!E198</f>
        <v>001</v>
      </c>
      <c r="F23" s="10">
        <f>'N TRIBUTARIO'!F198</f>
        <v>2</v>
      </c>
      <c r="G23" s="10">
        <f>'N TRIBUTARIO'!G198</f>
        <v>197</v>
      </c>
      <c r="H23" s="10" t="str">
        <f>'N TRIBUTARIO'!H198</f>
        <v>1122</v>
      </c>
      <c r="I23" s="10">
        <f>'N TRIBUTARIO'!I198</f>
        <v>0</v>
      </c>
      <c r="J23" s="10" t="s">
        <v>725</v>
      </c>
      <c r="K23" s="10" t="str">
        <f>'N TRIBUTARIO'!J198</f>
        <v>TECAPAN</v>
      </c>
      <c r="L23" s="10" t="str">
        <f>'N TRIBUTARIO'!K198</f>
        <v>ESTE</v>
      </c>
      <c r="M23" s="10" t="str">
        <f>'N TRIBUTARIO'!L198</f>
        <v>USULUTAN</v>
      </c>
      <c r="N23" s="10">
        <f>'N TRIBUTARIO'!M198</f>
        <v>0</v>
      </c>
      <c r="O23" s="10">
        <f>'N TRIBUTARIO'!N198</f>
        <v>0</v>
      </c>
      <c r="P23" s="10">
        <f>'N TRIBUTARIO'!O198</f>
        <v>1</v>
      </c>
      <c r="Q23" s="10">
        <f>'N TRIBUTARIO'!P198</f>
        <v>0</v>
      </c>
      <c r="R23" s="10">
        <f>'N TRIBUTARIO'!Q198</f>
        <v>0</v>
      </c>
      <c r="S23" s="10">
        <f>'N TRIBUTARIO'!R198</f>
        <v>0</v>
      </c>
      <c r="T23" s="10">
        <f>'N TRIBUTARIO'!S198</f>
        <v>0</v>
      </c>
      <c r="U23" s="10" t="str">
        <f>'N TRIBUTARIO'!T198</f>
        <v>-</v>
      </c>
      <c r="V23" s="10" t="str">
        <f>'N TRIBUTARIO'!U198</f>
        <v xml:space="preserve"> </v>
      </c>
      <c r="W23" s="10" t="str">
        <f>'N TRIBUTARIO'!V198</f>
        <v>TECAPAN-1122-ESTE</v>
      </c>
      <c r="X23" s="10" t="str">
        <f>'N TRIBUTARIO'!W198</f>
        <v>1122-111079-001-2</v>
      </c>
      <c r="Y23" s="10" t="str">
        <f>'N TRIBUTARIO'!X198</f>
        <v>TECAPAN ESTE</v>
      </c>
      <c r="Z23" s="10" t="str">
        <f>'N TRIBUTARIO'!Y198</f>
        <v>1122-111079-001-2 TECAPAN ESTE</v>
      </c>
      <c r="AA23" s="10" t="str">
        <f>'N TRIBUTARIO'!Z198</f>
        <v>1122 TECAPAN-ESTE</v>
      </c>
      <c r="AB23" s="10">
        <f>'N TRIBUTARIO'!AA198</f>
        <v>0</v>
      </c>
      <c r="AC23" s="10">
        <f>'N TRIBUTARIO'!AB198</f>
        <v>0</v>
      </c>
      <c r="AD23" s="10">
        <f>'N TRIBUTARIO'!AC198</f>
        <v>0</v>
      </c>
    </row>
    <row r="24" spans="1:30" ht="19" customHeight="1" x14ac:dyDescent="0.4">
      <c r="A24" s="10">
        <f>'N TRIBUTARIO'!A199</f>
        <v>0</v>
      </c>
      <c r="B24" s="10" t="str">
        <f>'N TRIBUTARIO'!B199</f>
        <v>01</v>
      </c>
      <c r="C24" s="10" t="str">
        <f>'N TRIBUTARIO'!C199</f>
        <v>06</v>
      </c>
      <c r="D24" s="10" t="str">
        <f>'N TRIBUTARIO'!D199</f>
        <v>11</v>
      </c>
      <c r="E24" s="10" t="str">
        <f>'N TRIBUTARIO'!E199</f>
        <v>002</v>
      </c>
      <c r="F24" s="10">
        <f>'N TRIBUTARIO'!F199</f>
        <v>7</v>
      </c>
      <c r="G24" s="10">
        <f>'N TRIBUTARIO'!G199</f>
        <v>198</v>
      </c>
      <c r="H24" s="10" t="str">
        <f>'N TRIBUTARIO'!H199</f>
        <v>1123</v>
      </c>
      <c r="I24" s="10">
        <f>'N TRIBUTARIO'!I199</f>
        <v>11</v>
      </c>
      <c r="J24" s="10" t="s">
        <v>725</v>
      </c>
      <c r="K24" s="10" t="str">
        <f>'N TRIBUTARIO'!J199</f>
        <v>USULUTAN</v>
      </c>
      <c r="L24" s="10" t="str">
        <f>'N TRIBUTARIO'!K199</f>
        <v>ESTE</v>
      </c>
      <c r="M24" s="10" t="str">
        <f>'N TRIBUTARIO'!L199</f>
        <v>USULUTAN</v>
      </c>
      <c r="N24" s="10">
        <f>'N TRIBUTARIO'!M199</f>
        <v>0</v>
      </c>
      <c r="O24" s="10">
        <f>'N TRIBUTARIO'!N199</f>
        <v>0</v>
      </c>
      <c r="P24" s="10">
        <f>'N TRIBUTARIO'!O199</f>
        <v>1</v>
      </c>
      <c r="Q24" s="10">
        <f>'N TRIBUTARIO'!P199</f>
        <v>0</v>
      </c>
      <c r="R24" s="10">
        <f>'N TRIBUTARIO'!Q199</f>
        <v>0</v>
      </c>
      <c r="S24" s="10">
        <f>'N TRIBUTARIO'!R199</f>
        <v>0</v>
      </c>
      <c r="T24" s="10">
        <f>'N TRIBUTARIO'!S199</f>
        <v>0</v>
      </c>
      <c r="U24" s="10" t="str">
        <f>'N TRIBUTARIO'!T199</f>
        <v>-</v>
      </c>
      <c r="V24" s="10" t="str">
        <f>'N TRIBUTARIO'!U199</f>
        <v xml:space="preserve"> </v>
      </c>
      <c r="W24" s="10" t="str">
        <f>'N TRIBUTARIO'!V199</f>
        <v>USULUTAN-1123-ESTE</v>
      </c>
      <c r="X24" s="10" t="str">
        <f>'N TRIBUTARIO'!W199</f>
        <v>1123-010611-002-7</v>
      </c>
      <c r="Y24" s="10" t="str">
        <f>'N TRIBUTARIO'!X199</f>
        <v>USULUTAN ESTE</v>
      </c>
      <c r="Z24" s="10" t="str">
        <f>'N TRIBUTARIO'!Y199</f>
        <v>1123-010611-002-7 USULUTAN ESTE</v>
      </c>
      <c r="AA24" s="10" t="str">
        <f>'N TRIBUTARIO'!Z199</f>
        <v>1123 USULUTAN-ESTE</v>
      </c>
      <c r="AB24" s="10">
        <f>'N TRIBUTARIO'!AA199</f>
        <v>0</v>
      </c>
      <c r="AC24" s="10">
        <f>'N TRIBUTARIO'!AB199</f>
        <v>0</v>
      </c>
      <c r="AD24" s="10">
        <f>'N TRIBUTARIO'!AC199</f>
        <v>0</v>
      </c>
    </row>
    <row r="25" spans="1:30" ht="19" customHeight="1" x14ac:dyDescent="0.4">
      <c r="N25" s="1">
        <f>SUM(N2:N24)</f>
        <v>0</v>
      </c>
      <c r="O25" s="1">
        <f t="shared" ref="O25:S25" si="0">SUM(O2:O24)</f>
        <v>0</v>
      </c>
      <c r="P25" s="1">
        <f t="shared" si="0"/>
        <v>10</v>
      </c>
      <c r="Q25" s="1">
        <f t="shared" si="0"/>
        <v>9</v>
      </c>
      <c r="R25" s="1">
        <f t="shared" si="0"/>
        <v>4</v>
      </c>
      <c r="S25" s="1">
        <f t="shared" si="0"/>
        <v>0</v>
      </c>
    </row>
    <row r="26" spans="1:30" ht="19" customHeight="1" x14ac:dyDescent="0.4">
      <c r="J26" s="1" t="str">
        <f>P1</f>
        <v>ESTE</v>
      </c>
      <c r="K26" s="1" t="str">
        <f>CONCATENATE(K4,J4,K5,J5,K7,J7,K11,J11,K14,J14,K18,J18,K19,J19,K21,J21,K23,J23,K24)</f>
        <v>CALIFORNIA, CONCEPCION BATRES, EREGUAYQUIN, JUCUARAN, OZATLAN, SAN DIONISIO, SANTA ELENA, SANTA MARIA, TECAPAN, USULUTAN</v>
      </c>
    </row>
    <row r="27" spans="1:30" ht="19" customHeight="1" x14ac:dyDescent="0.4">
      <c r="J27" s="1" t="str">
        <f>Q1</f>
        <v>NORTE</v>
      </c>
      <c r="K27" s="1" t="str">
        <f>CONCATENATE(K2,J2,K3,J3,K6,J6,K8,J8,K10,J10,K12,J12,K13,J13,K17,J17,K22)</f>
        <v>ALEGRIA, BERLIN, EL TRIUNFO, ESTANZUELAS, JUCUAPA, MERCEDES UMAÑA, NUEVA GRANADA, SAN BUENAVENTURA, SANTIAGO DE MARIA</v>
      </c>
    </row>
    <row r="28" spans="1:30" ht="19" customHeight="1" x14ac:dyDescent="0.4">
      <c r="J28" s="1" t="str">
        <f>R1</f>
        <v>OESTE</v>
      </c>
      <c r="K28" s="1" t="str">
        <f>CONCATENATE(K9,J9,K15,J15,K16,J16,K20)</f>
        <v>JIQUILISCO, PUERTO EL TRIUNFO, SAN AGUSTIN, SAN FRANCISCO JAVIER</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7993-319A-4E34-9F46-94E487AF1023}">
  <sheetPr codeName="Hoja19"/>
  <dimension ref="A1:AD25"/>
  <sheetViews>
    <sheetView showZeros="0" topLeftCell="G9"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9">
        <f>'N TRIBUTARIO'!A200</f>
        <v>0</v>
      </c>
      <c r="B2" s="9" t="str">
        <f>'N TRIBUTARIO'!B200</f>
        <v>12</v>
      </c>
      <c r="C2" s="9" t="str">
        <f>'N TRIBUTARIO'!C200</f>
        <v>10</v>
      </c>
      <c r="D2" s="9" t="str">
        <f>'N TRIBUTARIO'!D200</f>
        <v>79</v>
      </c>
      <c r="E2" s="9" t="str">
        <f>'N TRIBUTARIO'!E200</f>
        <v>001</v>
      </c>
      <c r="F2" s="9">
        <f>'N TRIBUTARIO'!F200</f>
        <v>0</v>
      </c>
      <c r="G2" s="9">
        <f>'N TRIBUTARIO'!G200</f>
        <v>199</v>
      </c>
      <c r="H2" s="9" t="str">
        <f>'N TRIBUTARIO'!H200</f>
        <v>1201</v>
      </c>
      <c r="I2" s="9">
        <f>'N TRIBUTARIO'!I200</f>
        <v>0</v>
      </c>
      <c r="J2" s="9" t="s">
        <v>725</v>
      </c>
      <c r="K2" s="9" t="str">
        <f>'N TRIBUTARIO'!J200</f>
        <v>CAROLINA</v>
      </c>
      <c r="L2" s="9" t="str">
        <f>'N TRIBUTARIO'!K200</f>
        <v>NORTE</v>
      </c>
      <c r="M2" s="9" t="str">
        <f>'N TRIBUTARIO'!L200</f>
        <v>SAN MIGUEL</v>
      </c>
      <c r="N2" s="9">
        <f>'N TRIBUTARIO'!M200</f>
        <v>0</v>
      </c>
      <c r="O2" s="9">
        <f>'N TRIBUTARIO'!N200</f>
        <v>0</v>
      </c>
      <c r="P2" s="9">
        <f>'N TRIBUTARIO'!O200</f>
        <v>0</v>
      </c>
      <c r="Q2" s="9">
        <f>'N TRIBUTARIO'!P200</f>
        <v>1</v>
      </c>
      <c r="R2" s="9">
        <f>'N TRIBUTARIO'!Q200</f>
        <v>0</v>
      </c>
      <c r="S2" s="9">
        <f>'N TRIBUTARIO'!R200</f>
        <v>0</v>
      </c>
      <c r="T2" s="9">
        <f>'N TRIBUTARIO'!S200</f>
        <v>0</v>
      </c>
      <c r="U2" s="9" t="str">
        <f>'N TRIBUTARIO'!T200</f>
        <v>-</v>
      </c>
      <c r="V2" s="9" t="str">
        <f>'N TRIBUTARIO'!U200</f>
        <v xml:space="preserve"> </v>
      </c>
      <c r="W2" s="9" t="str">
        <f>'N TRIBUTARIO'!V200</f>
        <v>CAROLINA-1201-NORTE</v>
      </c>
      <c r="X2" s="9" t="str">
        <f>'N TRIBUTARIO'!W200</f>
        <v>1201-121079-001-0</v>
      </c>
      <c r="Y2" s="9" t="str">
        <f>'N TRIBUTARIO'!X200</f>
        <v>CAROLINA NORTE</v>
      </c>
      <c r="Z2" s="9" t="str">
        <f>'N TRIBUTARIO'!Y200</f>
        <v>1201-121079-001-0 CAROLINA NORTE</v>
      </c>
      <c r="AA2" s="9" t="str">
        <f>'N TRIBUTARIO'!Z200</f>
        <v>1201 CAROLINA-NORTE</v>
      </c>
      <c r="AB2" s="9">
        <f>'N TRIBUTARIO'!AA200</f>
        <v>0</v>
      </c>
      <c r="AC2" s="9">
        <f>'N TRIBUTARIO'!AB200</f>
        <v>0</v>
      </c>
      <c r="AD2" s="9">
        <f>'N TRIBUTARIO'!AC200</f>
        <v>0</v>
      </c>
    </row>
    <row r="3" spans="1:30" ht="19" customHeight="1" x14ac:dyDescent="0.4">
      <c r="A3" s="9" t="str">
        <f>'N TRIBUTARIO'!A201</f>
        <v>N1</v>
      </c>
      <c r="B3" s="9" t="str">
        <f>'N TRIBUTARIO'!B201</f>
        <v>21</v>
      </c>
      <c r="C3" s="9" t="str">
        <f>'N TRIBUTARIO'!C201</f>
        <v>04</v>
      </c>
      <c r="D3" s="9" t="str">
        <f>'N TRIBUTARIO'!D201</f>
        <v>13</v>
      </c>
      <c r="E3" s="9" t="str">
        <f>'N TRIBUTARIO'!E201</f>
        <v>001</v>
      </c>
      <c r="F3" s="9">
        <f>'N TRIBUTARIO'!F201</f>
        <v>7</v>
      </c>
      <c r="G3" s="9">
        <f>'N TRIBUTARIO'!G201</f>
        <v>200</v>
      </c>
      <c r="H3" s="9" t="str">
        <f>'N TRIBUTARIO'!H201</f>
        <v>1202</v>
      </c>
      <c r="I3" s="9">
        <f>'N TRIBUTARIO'!I201</f>
        <v>0</v>
      </c>
      <c r="J3" s="9" t="s">
        <v>725</v>
      </c>
      <c r="K3" s="9" t="str">
        <f>'N TRIBUTARIO'!J201</f>
        <v>CIUDAD BARRIOS</v>
      </c>
      <c r="L3" s="9" t="str">
        <f>'N TRIBUTARIO'!K201</f>
        <v>NORTE</v>
      </c>
      <c r="M3" s="9" t="str">
        <f>'N TRIBUTARIO'!L201</f>
        <v>SAN MIGUEL</v>
      </c>
      <c r="N3" s="9">
        <f>'N TRIBUTARIO'!M201</f>
        <v>0</v>
      </c>
      <c r="O3" s="9">
        <f>'N TRIBUTARIO'!N201</f>
        <v>0</v>
      </c>
      <c r="P3" s="9">
        <f>'N TRIBUTARIO'!O201</f>
        <v>0</v>
      </c>
      <c r="Q3" s="9">
        <f>'N TRIBUTARIO'!P201</f>
        <v>1</v>
      </c>
      <c r="R3" s="9">
        <f>'N TRIBUTARIO'!Q201</f>
        <v>0</v>
      </c>
      <c r="S3" s="9">
        <f>'N TRIBUTARIO'!R201</f>
        <v>0</v>
      </c>
      <c r="T3" s="9">
        <f>'N TRIBUTARIO'!S201</f>
        <v>0</v>
      </c>
      <c r="U3" s="9" t="str">
        <f>'N TRIBUTARIO'!T201</f>
        <v>-</v>
      </c>
      <c r="V3" s="9" t="str">
        <f>'N TRIBUTARIO'!U201</f>
        <v xml:space="preserve"> </v>
      </c>
      <c r="W3" s="9" t="str">
        <f>'N TRIBUTARIO'!V201</f>
        <v>CIUDAD BARRIOS-1202-NORTE</v>
      </c>
      <c r="X3" s="9" t="str">
        <f>'N TRIBUTARIO'!W201</f>
        <v>1202-210413-001-7</v>
      </c>
      <c r="Y3" s="9" t="str">
        <f>'N TRIBUTARIO'!X201</f>
        <v>CIUDAD BARRIOS NORTE</v>
      </c>
      <c r="Z3" s="9" t="str">
        <f>'N TRIBUTARIO'!Y201</f>
        <v>1202-210413-001-7 CIUDAD BARRIOS NORTE</v>
      </c>
      <c r="AA3" s="9" t="str">
        <f>'N TRIBUTARIO'!Z201</f>
        <v>1202 CIUDAD BARRIOS-NORTE</v>
      </c>
      <c r="AB3" s="9">
        <f>'N TRIBUTARIO'!AA201</f>
        <v>758.96</v>
      </c>
      <c r="AC3" s="9">
        <f>'N TRIBUTARIO'!AB201</f>
        <v>79611</v>
      </c>
      <c r="AD3" s="9">
        <f>'N TRIBUTARIO'!AC201</f>
        <v>104.89</v>
      </c>
    </row>
    <row r="4" spans="1:30" ht="19" customHeight="1" x14ac:dyDescent="0.4">
      <c r="A4" s="9">
        <f>'N TRIBUTARIO'!A202</f>
        <v>0</v>
      </c>
      <c r="B4" s="9" t="str">
        <f>'N TRIBUTARIO'!B202</f>
        <v>12</v>
      </c>
      <c r="C4" s="9" t="str">
        <f>'N TRIBUTARIO'!C202</f>
        <v>10</v>
      </c>
      <c r="D4" s="9" t="str">
        <f>'N TRIBUTARIO'!D202</f>
        <v>79</v>
      </c>
      <c r="E4" s="9" t="str">
        <f>'N TRIBUTARIO'!E202</f>
        <v>001</v>
      </c>
      <c r="F4" s="9">
        <f>'N TRIBUTARIO'!F202</f>
        <v>0</v>
      </c>
      <c r="G4" s="9">
        <f>'N TRIBUTARIO'!G202</f>
        <v>201</v>
      </c>
      <c r="H4" s="9" t="str">
        <f>'N TRIBUTARIO'!H202</f>
        <v>1203</v>
      </c>
      <c r="I4" s="9">
        <f>'N TRIBUTARIO'!I202</f>
        <v>0</v>
      </c>
      <c r="J4" s="9" t="s">
        <v>725</v>
      </c>
      <c r="K4" s="9" t="str">
        <f>'N TRIBUTARIO'!J202</f>
        <v>COMACARAN</v>
      </c>
      <c r="L4" s="9" t="str">
        <f>'N TRIBUTARIO'!K202</f>
        <v>CENTRO</v>
      </c>
      <c r="M4" s="9" t="str">
        <f>'N TRIBUTARIO'!L202</f>
        <v>SAN MIGUEL</v>
      </c>
      <c r="N4" s="9">
        <f>'N TRIBUTARIO'!M202</f>
        <v>1</v>
      </c>
      <c r="O4" s="9">
        <f>'N TRIBUTARIO'!N202</f>
        <v>0</v>
      </c>
      <c r="P4" s="9">
        <f>'N TRIBUTARIO'!O202</f>
        <v>0</v>
      </c>
      <c r="Q4" s="9">
        <f>'N TRIBUTARIO'!P202</f>
        <v>0</v>
      </c>
      <c r="R4" s="9">
        <f>'N TRIBUTARIO'!Q202</f>
        <v>0</v>
      </c>
      <c r="S4" s="9">
        <f>'N TRIBUTARIO'!R202</f>
        <v>0</v>
      </c>
      <c r="T4" s="9">
        <f>'N TRIBUTARIO'!S202</f>
        <v>0</v>
      </c>
      <c r="U4" s="9" t="str">
        <f>'N TRIBUTARIO'!T202</f>
        <v>-</v>
      </c>
      <c r="V4" s="9" t="str">
        <f>'N TRIBUTARIO'!U202</f>
        <v xml:space="preserve"> </v>
      </c>
      <c r="W4" s="9" t="str">
        <f>'N TRIBUTARIO'!V202</f>
        <v>COMACARAN-1203-CENTRO</v>
      </c>
      <c r="X4" s="9" t="str">
        <f>'N TRIBUTARIO'!W202</f>
        <v>1203-121079-001-0</v>
      </c>
      <c r="Y4" s="9" t="str">
        <f>'N TRIBUTARIO'!X202</f>
        <v>COMACARAN CENTRO</v>
      </c>
      <c r="Z4" s="9" t="str">
        <f>'N TRIBUTARIO'!Y202</f>
        <v>1203-121079-001-0 COMACARAN CENTRO</v>
      </c>
      <c r="AA4" s="9" t="str">
        <f>'N TRIBUTARIO'!Z202</f>
        <v>1203 COMACARAN-CENTRO</v>
      </c>
      <c r="AB4" s="9">
        <f>'N TRIBUTARIO'!AA202</f>
        <v>0</v>
      </c>
      <c r="AC4" s="9">
        <f>'N TRIBUTARIO'!AB202</f>
        <v>0</v>
      </c>
      <c r="AD4" s="9">
        <f>'N TRIBUTARIO'!AC202</f>
        <v>0</v>
      </c>
    </row>
    <row r="5" spans="1:30" ht="19" customHeight="1" x14ac:dyDescent="0.4">
      <c r="A5" s="9">
        <f>'N TRIBUTARIO'!A203</f>
        <v>0</v>
      </c>
      <c r="B5" s="9" t="str">
        <f>'N TRIBUTARIO'!B203</f>
        <v>12</v>
      </c>
      <c r="C5" s="9" t="str">
        <f>'N TRIBUTARIO'!C203</f>
        <v>10</v>
      </c>
      <c r="D5" s="9" t="str">
        <f>'N TRIBUTARIO'!D203</f>
        <v>79</v>
      </c>
      <c r="E5" s="9" t="str">
        <f>'N TRIBUTARIO'!E203</f>
        <v>001</v>
      </c>
      <c r="F5" s="9">
        <f>'N TRIBUTARIO'!F203</f>
        <v>0</v>
      </c>
      <c r="G5" s="9">
        <f>'N TRIBUTARIO'!G203</f>
        <v>202</v>
      </c>
      <c r="H5" s="9" t="str">
        <f>'N TRIBUTARIO'!H203</f>
        <v>1204</v>
      </c>
      <c r="I5" s="9">
        <f>'N TRIBUTARIO'!I203</f>
        <v>0</v>
      </c>
      <c r="J5" s="9" t="s">
        <v>725</v>
      </c>
      <c r="K5" s="9" t="str">
        <f>'N TRIBUTARIO'!J203</f>
        <v>CHAPELTIQUE</v>
      </c>
      <c r="L5" s="9" t="str">
        <f>'N TRIBUTARIO'!K203</f>
        <v>NORTE</v>
      </c>
      <c r="M5" s="9" t="str">
        <f>'N TRIBUTARIO'!L203</f>
        <v>SAN MIGUEL</v>
      </c>
      <c r="N5" s="9">
        <f>'N TRIBUTARIO'!M203</f>
        <v>0</v>
      </c>
      <c r="O5" s="9">
        <f>'N TRIBUTARIO'!N203</f>
        <v>0</v>
      </c>
      <c r="P5" s="9">
        <f>'N TRIBUTARIO'!O203</f>
        <v>0</v>
      </c>
      <c r="Q5" s="9">
        <f>'N TRIBUTARIO'!P203</f>
        <v>1</v>
      </c>
      <c r="R5" s="9">
        <f>'N TRIBUTARIO'!Q203</f>
        <v>0</v>
      </c>
      <c r="S5" s="9">
        <f>'N TRIBUTARIO'!R203</f>
        <v>0</v>
      </c>
      <c r="T5" s="9">
        <f>'N TRIBUTARIO'!S203</f>
        <v>0</v>
      </c>
      <c r="U5" s="9" t="str">
        <f>'N TRIBUTARIO'!T203</f>
        <v>-</v>
      </c>
      <c r="V5" s="9" t="str">
        <f>'N TRIBUTARIO'!U203</f>
        <v xml:space="preserve"> </v>
      </c>
      <c r="W5" s="9" t="str">
        <f>'N TRIBUTARIO'!V203</f>
        <v>CHAPELTIQUE-1204-NORTE</v>
      </c>
      <c r="X5" s="9" t="str">
        <f>'N TRIBUTARIO'!W203</f>
        <v>1204-121079-001-0</v>
      </c>
      <c r="Y5" s="9" t="str">
        <f>'N TRIBUTARIO'!X203</f>
        <v>CHAPELTIQUE NORTE</v>
      </c>
      <c r="Z5" s="9" t="str">
        <f>'N TRIBUTARIO'!Y203</f>
        <v>1204-121079-001-0 CHAPELTIQUE NORTE</v>
      </c>
      <c r="AA5" s="9" t="str">
        <f>'N TRIBUTARIO'!Z203</f>
        <v>1204 CHAPELTIQUE-NORTE</v>
      </c>
      <c r="AB5" s="9">
        <f>'N TRIBUTARIO'!AA203</f>
        <v>0</v>
      </c>
      <c r="AC5" s="9">
        <f>'N TRIBUTARIO'!AB203</f>
        <v>0</v>
      </c>
      <c r="AD5" s="9">
        <f>'N TRIBUTARIO'!AC203</f>
        <v>0</v>
      </c>
    </row>
    <row r="6" spans="1:30" ht="19" customHeight="1" x14ac:dyDescent="0.4">
      <c r="A6" s="9" t="str">
        <f>'N TRIBUTARIO'!A204</f>
        <v>O1</v>
      </c>
      <c r="B6" s="9" t="str">
        <f>'N TRIBUTARIO'!B204</f>
        <v>12</v>
      </c>
      <c r="C6" s="9" t="str">
        <f>'N TRIBUTARIO'!C204</f>
        <v>10</v>
      </c>
      <c r="D6" s="9" t="str">
        <f>'N TRIBUTARIO'!D204</f>
        <v>79</v>
      </c>
      <c r="E6" s="9" t="str">
        <f>'N TRIBUTARIO'!E204</f>
        <v>001</v>
      </c>
      <c r="F6" s="9">
        <f>'N TRIBUTARIO'!F204</f>
        <v>0</v>
      </c>
      <c r="G6" s="9">
        <f>'N TRIBUTARIO'!G204</f>
        <v>203</v>
      </c>
      <c r="H6" s="9" t="str">
        <f>'N TRIBUTARIO'!H204</f>
        <v>1205</v>
      </c>
      <c r="I6" s="9">
        <f>'N TRIBUTARIO'!I204</f>
        <v>0</v>
      </c>
      <c r="J6" s="9" t="s">
        <v>725</v>
      </c>
      <c r="K6" s="9" t="str">
        <f>'N TRIBUTARIO'!J204</f>
        <v>CHINAMECA</v>
      </c>
      <c r="L6" s="9" t="str">
        <f>'N TRIBUTARIO'!K204</f>
        <v>OESTE</v>
      </c>
      <c r="M6" s="9" t="str">
        <f>'N TRIBUTARIO'!L204</f>
        <v>SAN MIGUEL</v>
      </c>
      <c r="N6" s="9">
        <f>'N TRIBUTARIO'!M204</f>
        <v>0</v>
      </c>
      <c r="O6" s="9">
        <f>'N TRIBUTARIO'!N204</f>
        <v>0</v>
      </c>
      <c r="P6" s="9">
        <f>'N TRIBUTARIO'!O204</f>
        <v>0</v>
      </c>
      <c r="Q6" s="9">
        <f>'N TRIBUTARIO'!P204</f>
        <v>0</v>
      </c>
      <c r="R6" s="9">
        <f>'N TRIBUTARIO'!Q204</f>
        <v>1</v>
      </c>
      <c r="S6" s="9">
        <f>'N TRIBUTARIO'!R204</f>
        <v>0</v>
      </c>
      <c r="T6" s="9">
        <f>'N TRIBUTARIO'!S204</f>
        <v>0</v>
      </c>
      <c r="U6" s="9" t="str">
        <f>'N TRIBUTARIO'!T204</f>
        <v>-</v>
      </c>
      <c r="V6" s="9" t="str">
        <f>'N TRIBUTARIO'!U204</f>
        <v xml:space="preserve"> </v>
      </c>
      <c r="W6" s="9" t="str">
        <f>'N TRIBUTARIO'!V204</f>
        <v>CHINAMECA-1205-OESTE</v>
      </c>
      <c r="X6" s="9" t="str">
        <f>'N TRIBUTARIO'!W204</f>
        <v>1205-121079-001-0</v>
      </c>
      <c r="Y6" s="9" t="str">
        <f>'N TRIBUTARIO'!X204</f>
        <v>CHINAMECA OESTE</v>
      </c>
      <c r="Z6" s="9" t="str">
        <f>'N TRIBUTARIO'!Y204</f>
        <v>1205-121079-001-0 CHINAMECA OESTE</v>
      </c>
      <c r="AA6" s="9" t="str">
        <f>'N TRIBUTARIO'!Z204</f>
        <v>1205 CHINAMECA-OESTE</v>
      </c>
      <c r="AB6" s="9">
        <f>'N TRIBUTARIO'!AA204</f>
        <v>321.06</v>
      </c>
      <c r="AC6" s="9">
        <f>'N TRIBUTARIO'!AB204</f>
        <v>86900</v>
      </c>
      <c r="AD6" s="9">
        <f>'N TRIBUTARIO'!AC204</f>
        <v>270.67</v>
      </c>
    </row>
    <row r="7" spans="1:30" ht="19" customHeight="1" x14ac:dyDescent="0.4">
      <c r="A7" s="9">
        <f>'N TRIBUTARIO'!A205</f>
        <v>0</v>
      </c>
      <c r="B7" s="9" t="str">
        <f>'N TRIBUTARIO'!B205</f>
        <v>12</v>
      </c>
      <c r="C7" s="9" t="str">
        <f>'N TRIBUTARIO'!C205</f>
        <v>10</v>
      </c>
      <c r="D7" s="9" t="str">
        <f>'N TRIBUTARIO'!D205</f>
        <v>79</v>
      </c>
      <c r="E7" s="9" t="str">
        <f>'N TRIBUTARIO'!E205</f>
        <v>001</v>
      </c>
      <c r="F7" s="9">
        <f>'N TRIBUTARIO'!F205</f>
        <v>0</v>
      </c>
      <c r="G7" s="9">
        <f>'N TRIBUTARIO'!G205</f>
        <v>204</v>
      </c>
      <c r="H7" s="9" t="str">
        <f>'N TRIBUTARIO'!H205</f>
        <v>1206</v>
      </c>
      <c r="I7" s="9">
        <f>'N TRIBUTARIO'!I205</f>
        <v>0</v>
      </c>
      <c r="J7" s="9" t="s">
        <v>725</v>
      </c>
      <c r="K7" s="9" t="str">
        <f>'N TRIBUTARIO'!J205</f>
        <v>CHIRILAGUA</v>
      </c>
      <c r="L7" s="9" t="str">
        <f>'N TRIBUTARIO'!K205</f>
        <v>CENTRO</v>
      </c>
      <c r="M7" s="9" t="str">
        <f>'N TRIBUTARIO'!L205</f>
        <v>SAN MIGUEL</v>
      </c>
      <c r="N7" s="9">
        <f>'N TRIBUTARIO'!M205</f>
        <v>1</v>
      </c>
      <c r="O7" s="9">
        <f>'N TRIBUTARIO'!N205</f>
        <v>0</v>
      </c>
      <c r="P7" s="9">
        <f>'N TRIBUTARIO'!O205</f>
        <v>0</v>
      </c>
      <c r="Q7" s="9">
        <f>'N TRIBUTARIO'!P205</f>
        <v>0</v>
      </c>
      <c r="R7" s="9">
        <f>'N TRIBUTARIO'!Q205</f>
        <v>0</v>
      </c>
      <c r="S7" s="9">
        <f>'N TRIBUTARIO'!R205</f>
        <v>0</v>
      </c>
      <c r="T7" s="9">
        <f>'N TRIBUTARIO'!S205</f>
        <v>0</v>
      </c>
      <c r="U7" s="9" t="str">
        <f>'N TRIBUTARIO'!T205</f>
        <v>-</v>
      </c>
      <c r="V7" s="9" t="str">
        <f>'N TRIBUTARIO'!U205</f>
        <v xml:space="preserve"> </v>
      </c>
      <c r="W7" s="9" t="str">
        <f>'N TRIBUTARIO'!V205</f>
        <v>CHIRILAGUA-1206-CENTRO</v>
      </c>
      <c r="X7" s="9" t="str">
        <f>'N TRIBUTARIO'!W205</f>
        <v>1206-121079-001-0</v>
      </c>
      <c r="Y7" s="9" t="str">
        <f>'N TRIBUTARIO'!X205</f>
        <v>CHIRILAGUA CENTRO</v>
      </c>
      <c r="Z7" s="9" t="str">
        <f>'N TRIBUTARIO'!Y205</f>
        <v>1206-121079-001-0 CHIRILAGUA CENTRO</v>
      </c>
      <c r="AA7" s="9" t="str">
        <f>'N TRIBUTARIO'!Z205</f>
        <v>1206 CHIRILAGUA-CENTRO</v>
      </c>
      <c r="AB7" s="9">
        <f>'N TRIBUTARIO'!AA205</f>
        <v>0</v>
      </c>
      <c r="AC7" s="9">
        <f>'N TRIBUTARIO'!AB205</f>
        <v>0</v>
      </c>
      <c r="AD7" s="9">
        <f>'N TRIBUTARIO'!AC205</f>
        <v>0</v>
      </c>
    </row>
    <row r="8" spans="1:30" ht="19" customHeight="1" x14ac:dyDescent="0.4">
      <c r="A8" s="9">
        <f>'N TRIBUTARIO'!A206</f>
        <v>0</v>
      </c>
      <c r="B8" s="9" t="str">
        <f>'N TRIBUTARIO'!B206</f>
        <v>12</v>
      </c>
      <c r="C8" s="9" t="str">
        <f>'N TRIBUTARIO'!C206</f>
        <v>10</v>
      </c>
      <c r="D8" s="9" t="str">
        <f>'N TRIBUTARIO'!D206</f>
        <v>79</v>
      </c>
      <c r="E8" s="9" t="str">
        <f>'N TRIBUTARIO'!E206</f>
        <v>001</v>
      </c>
      <c r="F8" s="9">
        <f>'N TRIBUTARIO'!F206</f>
        <v>0</v>
      </c>
      <c r="G8" s="9">
        <f>'N TRIBUTARIO'!G206</f>
        <v>205</v>
      </c>
      <c r="H8" s="9" t="str">
        <f>'N TRIBUTARIO'!H206</f>
        <v>1207</v>
      </c>
      <c r="I8" s="9">
        <f>'N TRIBUTARIO'!I206</f>
        <v>0</v>
      </c>
      <c r="J8" s="9" t="s">
        <v>725</v>
      </c>
      <c r="K8" s="9" t="str">
        <f>'N TRIBUTARIO'!J206</f>
        <v>EL TRANSITO</v>
      </c>
      <c r="L8" s="9" t="str">
        <f>'N TRIBUTARIO'!K206</f>
        <v>OESTE</v>
      </c>
      <c r="M8" s="9" t="str">
        <f>'N TRIBUTARIO'!L206</f>
        <v>SAN MIGUEL</v>
      </c>
      <c r="N8" s="9">
        <f>'N TRIBUTARIO'!M206</f>
        <v>0</v>
      </c>
      <c r="O8" s="9">
        <f>'N TRIBUTARIO'!N206</f>
        <v>0</v>
      </c>
      <c r="P8" s="9">
        <f>'N TRIBUTARIO'!O206</f>
        <v>0</v>
      </c>
      <c r="Q8" s="9">
        <f>'N TRIBUTARIO'!P206</f>
        <v>0</v>
      </c>
      <c r="R8" s="9">
        <f>'N TRIBUTARIO'!Q206</f>
        <v>1</v>
      </c>
      <c r="S8" s="9">
        <f>'N TRIBUTARIO'!R206</f>
        <v>0</v>
      </c>
      <c r="T8" s="9">
        <f>'N TRIBUTARIO'!S206</f>
        <v>0</v>
      </c>
      <c r="U8" s="9" t="str">
        <f>'N TRIBUTARIO'!T206</f>
        <v>-</v>
      </c>
      <c r="V8" s="9" t="str">
        <f>'N TRIBUTARIO'!U206</f>
        <v xml:space="preserve"> </v>
      </c>
      <c r="W8" s="9" t="str">
        <f>'N TRIBUTARIO'!V206</f>
        <v>EL TRANSITO-1207-OESTE</v>
      </c>
      <c r="X8" s="9" t="str">
        <f>'N TRIBUTARIO'!W206</f>
        <v>1207-121079-001-0</v>
      </c>
      <c r="Y8" s="9" t="str">
        <f>'N TRIBUTARIO'!X206</f>
        <v>EL TRANSITO OESTE</v>
      </c>
      <c r="Z8" s="9" t="str">
        <f>'N TRIBUTARIO'!Y206</f>
        <v>1207-121079-001-0 EL TRANSITO OESTE</v>
      </c>
      <c r="AA8" s="9" t="str">
        <f>'N TRIBUTARIO'!Z206</f>
        <v>1207 EL TRANSITO-OESTE</v>
      </c>
      <c r="AB8" s="9">
        <f>'N TRIBUTARIO'!AA206</f>
        <v>0</v>
      </c>
      <c r="AC8" s="9">
        <f>'N TRIBUTARIO'!AB206</f>
        <v>0</v>
      </c>
      <c r="AD8" s="9">
        <f>'N TRIBUTARIO'!AC206</f>
        <v>0</v>
      </c>
    </row>
    <row r="9" spans="1:30" ht="19" customHeight="1" x14ac:dyDescent="0.4">
      <c r="A9" s="9">
        <f>'N TRIBUTARIO'!A207</f>
        <v>0</v>
      </c>
      <c r="B9" s="9" t="str">
        <f>'N TRIBUTARIO'!B207</f>
        <v>12</v>
      </c>
      <c r="C9" s="9" t="str">
        <f>'N TRIBUTARIO'!C207</f>
        <v>10</v>
      </c>
      <c r="D9" s="9" t="str">
        <f>'N TRIBUTARIO'!D207</f>
        <v>79</v>
      </c>
      <c r="E9" s="9" t="str">
        <f>'N TRIBUTARIO'!E207</f>
        <v>001</v>
      </c>
      <c r="F9" s="9">
        <f>'N TRIBUTARIO'!F207</f>
        <v>0</v>
      </c>
      <c r="G9" s="9">
        <f>'N TRIBUTARIO'!G207</f>
        <v>206</v>
      </c>
      <c r="H9" s="9" t="str">
        <f>'N TRIBUTARIO'!H207</f>
        <v>1208</v>
      </c>
      <c r="I9" s="9">
        <f>'N TRIBUTARIO'!I207</f>
        <v>0</v>
      </c>
      <c r="J9" s="9" t="s">
        <v>725</v>
      </c>
      <c r="K9" s="9" t="str">
        <f>'N TRIBUTARIO'!J207</f>
        <v>LOLOTIQUE</v>
      </c>
      <c r="L9" s="9" t="str">
        <f>'N TRIBUTARIO'!K207</f>
        <v>OESTE</v>
      </c>
      <c r="M9" s="9" t="str">
        <f>'N TRIBUTARIO'!L207</f>
        <v>SAN MIGUEL</v>
      </c>
      <c r="N9" s="9">
        <f>'N TRIBUTARIO'!M207</f>
        <v>0</v>
      </c>
      <c r="O9" s="9">
        <f>'N TRIBUTARIO'!N207</f>
        <v>0</v>
      </c>
      <c r="P9" s="9">
        <f>'N TRIBUTARIO'!O207</f>
        <v>0</v>
      </c>
      <c r="Q9" s="9">
        <f>'N TRIBUTARIO'!P207</f>
        <v>0</v>
      </c>
      <c r="R9" s="9">
        <f>'N TRIBUTARIO'!Q207</f>
        <v>1</v>
      </c>
      <c r="S9" s="9">
        <f>'N TRIBUTARIO'!R207</f>
        <v>0</v>
      </c>
      <c r="T9" s="9">
        <f>'N TRIBUTARIO'!S207</f>
        <v>0</v>
      </c>
      <c r="U9" s="9" t="str">
        <f>'N TRIBUTARIO'!T207</f>
        <v>-</v>
      </c>
      <c r="V9" s="9" t="str">
        <f>'N TRIBUTARIO'!U207</f>
        <v xml:space="preserve"> </v>
      </c>
      <c r="W9" s="9" t="str">
        <f>'N TRIBUTARIO'!V207</f>
        <v>LOLOTIQUE-1208-OESTE</v>
      </c>
      <c r="X9" s="9" t="str">
        <f>'N TRIBUTARIO'!W207</f>
        <v>1208-121079-001-0</v>
      </c>
      <c r="Y9" s="9" t="str">
        <f>'N TRIBUTARIO'!X207</f>
        <v>LOLOTIQUE OESTE</v>
      </c>
      <c r="Z9" s="9" t="str">
        <f>'N TRIBUTARIO'!Y207</f>
        <v>1208-121079-001-0 LOLOTIQUE OESTE</v>
      </c>
      <c r="AA9" s="9" t="str">
        <f>'N TRIBUTARIO'!Z207</f>
        <v>1208 LOLOTIQUE-OESTE</v>
      </c>
      <c r="AB9" s="9">
        <f>'N TRIBUTARIO'!AA207</f>
        <v>0</v>
      </c>
      <c r="AC9" s="9">
        <f>'N TRIBUTARIO'!AB207</f>
        <v>0</v>
      </c>
      <c r="AD9" s="9">
        <f>'N TRIBUTARIO'!AC207</f>
        <v>0</v>
      </c>
    </row>
    <row r="10" spans="1:30" ht="19" customHeight="1" x14ac:dyDescent="0.4">
      <c r="A10" s="9">
        <f>'N TRIBUTARIO'!A208</f>
        <v>0</v>
      </c>
      <c r="B10" s="9" t="str">
        <f>'N TRIBUTARIO'!B208</f>
        <v>12</v>
      </c>
      <c r="C10" s="9" t="str">
        <f>'N TRIBUTARIO'!C208</f>
        <v>10</v>
      </c>
      <c r="D10" s="9" t="str">
        <f>'N TRIBUTARIO'!D208</f>
        <v>76</v>
      </c>
      <c r="E10" s="9" t="str">
        <f>'N TRIBUTARIO'!E208</f>
        <v>001</v>
      </c>
      <c r="F10" s="9">
        <f>'N TRIBUTARIO'!F208</f>
        <v>7</v>
      </c>
      <c r="G10" s="9">
        <f>'N TRIBUTARIO'!G208</f>
        <v>207</v>
      </c>
      <c r="H10" s="9" t="str">
        <f>'N TRIBUTARIO'!H208</f>
        <v>1209</v>
      </c>
      <c r="I10" s="9">
        <f>'N TRIBUTARIO'!I208</f>
        <v>0</v>
      </c>
      <c r="J10" s="9" t="s">
        <v>725</v>
      </c>
      <c r="K10" s="9" t="str">
        <f>'N TRIBUTARIO'!J208</f>
        <v>MONCAGUA</v>
      </c>
      <c r="L10" s="9" t="str">
        <f>'N TRIBUTARIO'!K208</f>
        <v>CENTRO</v>
      </c>
      <c r="M10" s="9" t="str">
        <f>'N TRIBUTARIO'!L208</f>
        <v>SAN MIGUEL</v>
      </c>
      <c r="N10" s="9">
        <f>'N TRIBUTARIO'!M208</f>
        <v>1</v>
      </c>
      <c r="O10" s="9">
        <f>'N TRIBUTARIO'!N208</f>
        <v>0</v>
      </c>
      <c r="P10" s="9">
        <f>'N TRIBUTARIO'!O208</f>
        <v>0</v>
      </c>
      <c r="Q10" s="9">
        <f>'N TRIBUTARIO'!P208</f>
        <v>0</v>
      </c>
      <c r="R10" s="9">
        <f>'N TRIBUTARIO'!Q208</f>
        <v>0</v>
      </c>
      <c r="S10" s="9">
        <f>'N TRIBUTARIO'!R208</f>
        <v>0</v>
      </c>
      <c r="T10" s="9">
        <f>'N TRIBUTARIO'!S208</f>
        <v>0</v>
      </c>
      <c r="U10" s="9" t="str">
        <f>'N TRIBUTARIO'!T208</f>
        <v>-</v>
      </c>
      <c r="V10" s="9" t="str">
        <f>'N TRIBUTARIO'!U208</f>
        <v xml:space="preserve"> </v>
      </c>
      <c r="W10" s="9" t="str">
        <f>'N TRIBUTARIO'!V208</f>
        <v>MONCAGUA-1209-CENTRO</v>
      </c>
      <c r="X10" s="9" t="str">
        <f>'N TRIBUTARIO'!W208</f>
        <v>1209-121076-001-7</v>
      </c>
      <c r="Y10" s="9" t="str">
        <f>'N TRIBUTARIO'!X208</f>
        <v>MONCAGUA CENTRO</v>
      </c>
      <c r="Z10" s="9" t="str">
        <f>'N TRIBUTARIO'!Y208</f>
        <v>1209-121076-001-7 MONCAGUA CENTRO</v>
      </c>
      <c r="AA10" s="9" t="str">
        <f>'N TRIBUTARIO'!Z208</f>
        <v>1209 MONCAGUA-CENTRO</v>
      </c>
      <c r="AB10" s="9">
        <f>'N TRIBUTARIO'!AA208</f>
        <v>0</v>
      </c>
      <c r="AC10" s="9">
        <f>'N TRIBUTARIO'!AB208</f>
        <v>0</v>
      </c>
      <c r="AD10" s="9">
        <f>'N TRIBUTARIO'!AC208</f>
        <v>0</v>
      </c>
    </row>
    <row r="11" spans="1:30" ht="19" customHeight="1" x14ac:dyDescent="0.4">
      <c r="A11" s="9">
        <f>'N TRIBUTARIO'!A209</f>
        <v>0</v>
      </c>
      <c r="B11" s="9" t="str">
        <f>'N TRIBUTARIO'!B209</f>
        <v>12</v>
      </c>
      <c r="C11" s="9" t="str">
        <f>'N TRIBUTARIO'!C209</f>
        <v>10</v>
      </c>
      <c r="D11" s="9" t="str">
        <f>'N TRIBUTARIO'!D209</f>
        <v>79</v>
      </c>
      <c r="E11" s="9" t="str">
        <f>'N TRIBUTARIO'!E209</f>
        <v>001</v>
      </c>
      <c r="F11" s="9">
        <f>'N TRIBUTARIO'!F209</f>
        <v>1</v>
      </c>
      <c r="G11" s="9">
        <f>'N TRIBUTARIO'!G209</f>
        <v>208</v>
      </c>
      <c r="H11" s="9" t="str">
        <f>'N TRIBUTARIO'!H209</f>
        <v>1210</v>
      </c>
      <c r="I11" s="9">
        <f>'N TRIBUTARIO'!I209</f>
        <v>0</v>
      </c>
      <c r="J11" s="9" t="s">
        <v>725</v>
      </c>
      <c r="K11" s="9" t="str">
        <f>'N TRIBUTARIO'!J209</f>
        <v>NUEVA GUADALUPE</v>
      </c>
      <c r="L11" s="9" t="str">
        <f>'N TRIBUTARIO'!K209</f>
        <v>OESTE</v>
      </c>
      <c r="M11" s="9" t="str">
        <f>'N TRIBUTARIO'!L209</f>
        <v>SAN MIGUEL</v>
      </c>
      <c r="N11" s="9">
        <f>'N TRIBUTARIO'!M209</f>
        <v>0</v>
      </c>
      <c r="O11" s="9">
        <f>'N TRIBUTARIO'!N209</f>
        <v>0</v>
      </c>
      <c r="P11" s="9">
        <f>'N TRIBUTARIO'!O209</f>
        <v>0</v>
      </c>
      <c r="Q11" s="9">
        <f>'N TRIBUTARIO'!P209</f>
        <v>0</v>
      </c>
      <c r="R11" s="9">
        <f>'N TRIBUTARIO'!Q209</f>
        <v>1</v>
      </c>
      <c r="S11" s="9">
        <f>'N TRIBUTARIO'!R209</f>
        <v>0</v>
      </c>
      <c r="T11" s="9">
        <f>'N TRIBUTARIO'!S209</f>
        <v>0</v>
      </c>
      <c r="U11" s="9" t="str">
        <f>'N TRIBUTARIO'!T209</f>
        <v>-</v>
      </c>
      <c r="V11" s="9" t="str">
        <f>'N TRIBUTARIO'!U209</f>
        <v xml:space="preserve"> </v>
      </c>
      <c r="W11" s="9" t="str">
        <f>'N TRIBUTARIO'!V209</f>
        <v>NUEVA GUADALUPE-1210-OESTE</v>
      </c>
      <c r="X11" s="9" t="str">
        <f>'N TRIBUTARIO'!W209</f>
        <v>1210-121079-001-1</v>
      </c>
      <c r="Y11" s="9" t="str">
        <f>'N TRIBUTARIO'!X209</f>
        <v>NUEVA GUADALUPE OESTE</v>
      </c>
      <c r="Z11" s="9" t="str">
        <f>'N TRIBUTARIO'!Y209</f>
        <v>1210-121079-001-1 NUEVA GUADALUPE OESTE</v>
      </c>
      <c r="AA11" s="9" t="str">
        <f>'N TRIBUTARIO'!Z209</f>
        <v>1210 NUEVA GUADALUPE-OESTE</v>
      </c>
      <c r="AB11" s="9">
        <f>'N TRIBUTARIO'!AA209</f>
        <v>0</v>
      </c>
      <c r="AC11" s="9">
        <f>'N TRIBUTARIO'!AB209</f>
        <v>0</v>
      </c>
      <c r="AD11" s="9">
        <f>'N TRIBUTARIO'!AC209</f>
        <v>0</v>
      </c>
    </row>
    <row r="12" spans="1:30" ht="19" customHeight="1" x14ac:dyDescent="0.4">
      <c r="A12" s="9">
        <f>'N TRIBUTARIO'!A210</f>
        <v>0</v>
      </c>
      <c r="B12" s="9" t="str">
        <f>'N TRIBUTARIO'!B210</f>
        <v>12</v>
      </c>
      <c r="C12" s="9" t="str">
        <f>'N TRIBUTARIO'!C210</f>
        <v>10</v>
      </c>
      <c r="D12" s="9" t="str">
        <f>'N TRIBUTARIO'!D210</f>
        <v>79</v>
      </c>
      <c r="E12" s="9" t="str">
        <f>'N TRIBUTARIO'!E210</f>
        <v>001</v>
      </c>
      <c r="F12" s="9">
        <f>'N TRIBUTARIO'!F210</f>
        <v>1</v>
      </c>
      <c r="G12" s="9">
        <f>'N TRIBUTARIO'!G210</f>
        <v>209</v>
      </c>
      <c r="H12" s="9" t="str">
        <f>'N TRIBUTARIO'!H210</f>
        <v>1211</v>
      </c>
      <c r="I12" s="9">
        <f>'N TRIBUTARIO'!I210</f>
        <v>0</v>
      </c>
      <c r="J12" s="9" t="s">
        <v>725</v>
      </c>
      <c r="K12" s="9" t="str">
        <f>'N TRIBUTARIO'!J210</f>
        <v>NUEVO EDEN DE SAN JUAN</v>
      </c>
      <c r="L12" s="9" t="str">
        <f>'N TRIBUTARIO'!K210</f>
        <v>NORTE</v>
      </c>
      <c r="M12" s="9" t="str">
        <f>'N TRIBUTARIO'!L210</f>
        <v>SAN MIGUEL</v>
      </c>
      <c r="N12" s="9">
        <f>'N TRIBUTARIO'!M210</f>
        <v>0</v>
      </c>
      <c r="O12" s="9">
        <f>'N TRIBUTARIO'!N210</f>
        <v>0</v>
      </c>
      <c r="P12" s="9">
        <f>'N TRIBUTARIO'!O210</f>
        <v>0</v>
      </c>
      <c r="Q12" s="9">
        <f>'N TRIBUTARIO'!P210</f>
        <v>1</v>
      </c>
      <c r="R12" s="9">
        <f>'N TRIBUTARIO'!Q210</f>
        <v>0</v>
      </c>
      <c r="S12" s="9">
        <f>'N TRIBUTARIO'!R210</f>
        <v>0</v>
      </c>
      <c r="T12" s="9">
        <f>'N TRIBUTARIO'!S210</f>
        <v>0</v>
      </c>
      <c r="U12" s="9" t="str">
        <f>'N TRIBUTARIO'!T210</f>
        <v>-</v>
      </c>
      <c r="V12" s="9" t="str">
        <f>'N TRIBUTARIO'!U210</f>
        <v xml:space="preserve"> </v>
      </c>
      <c r="W12" s="9" t="str">
        <f>'N TRIBUTARIO'!V210</f>
        <v>NUEVO EDEN DE SAN JUAN-1211-NORTE</v>
      </c>
      <c r="X12" s="9" t="str">
        <f>'N TRIBUTARIO'!W210</f>
        <v>1211-121079-001-1</v>
      </c>
      <c r="Y12" s="9" t="str">
        <f>'N TRIBUTARIO'!X210</f>
        <v>NUEVO EDEN DE SAN JUAN NORTE</v>
      </c>
      <c r="Z12" s="9" t="str">
        <f>'N TRIBUTARIO'!Y210</f>
        <v>1211-121079-001-1 NUEVO EDEN DE SAN JUAN NORTE</v>
      </c>
      <c r="AA12" s="9" t="str">
        <f>'N TRIBUTARIO'!Z210</f>
        <v>1211 NUEVO EDEN DE SAN JUAN-NORTE</v>
      </c>
      <c r="AB12" s="9">
        <f>'N TRIBUTARIO'!AA210</f>
        <v>0</v>
      </c>
      <c r="AC12" s="9">
        <f>'N TRIBUTARIO'!AB210</f>
        <v>0</v>
      </c>
      <c r="AD12" s="9">
        <f>'N TRIBUTARIO'!AC210</f>
        <v>0</v>
      </c>
    </row>
    <row r="13" spans="1:30" ht="19" customHeight="1" x14ac:dyDescent="0.4">
      <c r="A13" s="9">
        <f>'N TRIBUTARIO'!A211</f>
        <v>0</v>
      </c>
      <c r="B13" s="9" t="str">
        <f>'N TRIBUTARIO'!B211</f>
        <v>12</v>
      </c>
      <c r="C13" s="9" t="str">
        <f>'N TRIBUTARIO'!C211</f>
        <v>10</v>
      </c>
      <c r="D13" s="9" t="str">
        <f>'N TRIBUTARIO'!D211</f>
        <v>79</v>
      </c>
      <c r="E13" s="9" t="str">
        <f>'N TRIBUTARIO'!E211</f>
        <v>001</v>
      </c>
      <c r="F13" s="9">
        <f>'N TRIBUTARIO'!F211</f>
        <v>1</v>
      </c>
      <c r="G13" s="9">
        <f>'N TRIBUTARIO'!G211</f>
        <v>210</v>
      </c>
      <c r="H13" s="9" t="str">
        <f>'N TRIBUTARIO'!H211</f>
        <v>1212</v>
      </c>
      <c r="I13" s="9">
        <f>'N TRIBUTARIO'!I211</f>
        <v>0</v>
      </c>
      <c r="J13" s="9" t="s">
        <v>725</v>
      </c>
      <c r="K13" s="9" t="str">
        <f>'N TRIBUTARIO'!J211</f>
        <v>QUELEPA</v>
      </c>
      <c r="L13" s="9" t="str">
        <f>'N TRIBUTARIO'!K211</f>
        <v>CENTRO</v>
      </c>
      <c r="M13" s="9" t="str">
        <f>'N TRIBUTARIO'!L211</f>
        <v>SAN MIGUEL</v>
      </c>
      <c r="N13" s="9">
        <f>'N TRIBUTARIO'!M211</f>
        <v>1</v>
      </c>
      <c r="O13" s="9">
        <f>'N TRIBUTARIO'!N211</f>
        <v>0</v>
      </c>
      <c r="P13" s="9">
        <f>'N TRIBUTARIO'!O211</f>
        <v>0</v>
      </c>
      <c r="Q13" s="9">
        <f>'N TRIBUTARIO'!P211</f>
        <v>0</v>
      </c>
      <c r="R13" s="9">
        <f>'N TRIBUTARIO'!Q211</f>
        <v>0</v>
      </c>
      <c r="S13" s="9">
        <f>'N TRIBUTARIO'!R211</f>
        <v>0</v>
      </c>
      <c r="T13" s="9">
        <f>'N TRIBUTARIO'!S211</f>
        <v>0</v>
      </c>
      <c r="U13" s="9" t="str">
        <f>'N TRIBUTARIO'!T211</f>
        <v>-</v>
      </c>
      <c r="V13" s="9" t="str">
        <f>'N TRIBUTARIO'!U211</f>
        <v xml:space="preserve"> </v>
      </c>
      <c r="W13" s="9" t="str">
        <f>'N TRIBUTARIO'!V211</f>
        <v>QUELEPA-1212-CENTRO</v>
      </c>
      <c r="X13" s="9" t="str">
        <f>'N TRIBUTARIO'!W211</f>
        <v>1212-121079-001-1</v>
      </c>
      <c r="Y13" s="9" t="str">
        <f>'N TRIBUTARIO'!X211</f>
        <v>QUELEPA CENTRO</v>
      </c>
      <c r="Z13" s="9" t="str">
        <f>'N TRIBUTARIO'!Y211</f>
        <v>1212-121079-001-1 QUELEPA CENTRO</v>
      </c>
      <c r="AA13" s="9" t="str">
        <f>'N TRIBUTARIO'!Z211</f>
        <v>1212 QUELEPA-CENTRO</v>
      </c>
      <c r="AB13" s="9">
        <f>'N TRIBUTARIO'!AA211</f>
        <v>0</v>
      </c>
      <c r="AC13" s="9">
        <f>'N TRIBUTARIO'!AB211</f>
        <v>0</v>
      </c>
      <c r="AD13" s="9">
        <f>'N TRIBUTARIO'!AC211</f>
        <v>0</v>
      </c>
    </row>
    <row r="14" spans="1:30" ht="19" customHeight="1" x14ac:dyDescent="0.4">
      <c r="A14" s="9">
        <f>'N TRIBUTARIO'!A212</f>
        <v>0</v>
      </c>
      <c r="B14" s="9" t="str">
        <f>'N TRIBUTARIO'!B212</f>
        <v>12</v>
      </c>
      <c r="C14" s="9" t="str">
        <f>'N TRIBUTARIO'!C212</f>
        <v>10</v>
      </c>
      <c r="D14" s="9" t="str">
        <f>'N TRIBUTARIO'!D212</f>
        <v>79</v>
      </c>
      <c r="E14" s="9" t="str">
        <f>'N TRIBUTARIO'!E212</f>
        <v>001</v>
      </c>
      <c r="F14" s="9">
        <f>'N TRIBUTARIO'!F212</f>
        <v>1</v>
      </c>
      <c r="G14" s="9">
        <f>'N TRIBUTARIO'!G212</f>
        <v>211</v>
      </c>
      <c r="H14" s="9" t="str">
        <f>'N TRIBUTARIO'!H212</f>
        <v>1213</v>
      </c>
      <c r="I14" s="9">
        <f>'N TRIBUTARIO'!I212</f>
        <v>0</v>
      </c>
      <c r="J14" s="9" t="s">
        <v>725</v>
      </c>
      <c r="K14" s="9" t="str">
        <f>'N TRIBUTARIO'!J212</f>
        <v>SAN ANTONIO DEL MOSCO</v>
      </c>
      <c r="L14" s="9" t="str">
        <f>'N TRIBUTARIO'!K212</f>
        <v>NORTE</v>
      </c>
      <c r="M14" s="9" t="str">
        <f>'N TRIBUTARIO'!L212</f>
        <v>SAN MIGUEL</v>
      </c>
      <c r="N14" s="9">
        <f>'N TRIBUTARIO'!M212</f>
        <v>0</v>
      </c>
      <c r="O14" s="9">
        <f>'N TRIBUTARIO'!N212</f>
        <v>0</v>
      </c>
      <c r="P14" s="9">
        <f>'N TRIBUTARIO'!O212</f>
        <v>0</v>
      </c>
      <c r="Q14" s="9">
        <f>'N TRIBUTARIO'!P212</f>
        <v>1</v>
      </c>
      <c r="R14" s="9">
        <f>'N TRIBUTARIO'!Q212</f>
        <v>0</v>
      </c>
      <c r="S14" s="9">
        <f>'N TRIBUTARIO'!R212</f>
        <v>0</v>
      </c>
      <c r="T14" s="9">
        <f>'N TRIBUTARIO'!S212</f>
        <v>0</v>
      </c>
      <c r="U14" s="9" t="str">
        <f>'N TRIBUTARIO'!T212</f>
        <v>-</v>
      </c>
      <c r="V14" s="9" t="str">
        <f>'N TRIBUTARIO'!U212</f>
        <v xml:space="preserve"> </v>
      </c>
      <c r="W14" s="9" t="str">
        <f>'N TRIBUTARIO'!V212</f>
        <v>SAN ANTONIO DEL MOSCO-1213-NORTE</v>
      </c>
      <c r="X14" s="9" t="str">
        <f>'N TRIBUTARIO'!W212</f>
        <v>1213-121079-001-1</v>
      </c>
      <c r="Y14" s="9" t="str">
        <f>'N TRIBUTARIO'!X212</f>
        <v>SAN ANTONIO DEL MOSCO NORTE</v>
      </c>
      <c r="Z14" s="9" t="str">
        <f>'N TRIBUTARIO'!Y212</f>
        <v>1213-121079-001-1 SAN ANTONIO DEL MOSCO NORTE</v>
      </c>
      <c r="AA14" s="9" t="str">
        <f>'N TRIBUTARIO'!Z212</f>
        <v>1213 SAN ANTONIO DEL MOSCO-NORTE</v>
      </c>
      <c r="AB14" s="9">
        <f>'N TRIBUTARIO'!AA212</f>
        <v>0</v>
      </c>
      <c r="AC14" s="9">
        <f>'N TRIBUTARIO'!AB212</f>
        <v>0</v>
      </c>
      <c r="AD14" s="9">
        <f>'N TRIBUTARIO'!AC212</f>
        <v>0</v>
      </c>
    </row>
    <row r="15" spans="1:30" ht="19" customHeight="1" x14ac:dyDescent="0.4">
      <c r="A15" s="9">
        <f>'N TRIBUTARIO'!A213</f>
        <v>0</v>
      </c>
      <c r="B15" s="9" t="str">
        <f>'N TRIBUTARIO'!B213</f>
        <v>12</v>
      </c>
      <c r="C15" s="9" t="str">
        <f>'N TRIBUTARIO'!C213</f>
        <v>10</v>
      </c>
      <c r="D15" s="9" t="str">
        <f>'N TRIBUTARIO'!D213</f>
        <v>79</v>
      </c>
      <c r="E15" s="9" t="str">
        <f>'N TRIBUTARIO'!E213</f>
        <v>001</v>
      </c>
      <c r="F15" s="9">
        <f>'N TRIBUTARIO'!F213</f>
        <v>1</v>
      </c>
      <c r="G15" s="9">
        <f>'N TRIBUTARIO'!G213</f>
        <v>212</v>
      </c>
      <c r="H15" s="9" t="str">
        <f>'N TRIBUTARIO'!H213</f>
        <v>1214</v>
      </c>
      <c r="I15" s="9">
        <f>'N TRIBUTARIO'!I213</f>
        <v>0</v>
      </c>
      <c r="J15" s="9" t="s">
        <v>725</v>
      </c>
      <c r="K15" s="9" t="str">
        <f>'N TRIBUTARIO'!J213</f>
        <v>SAN GERARDO</v>
      </c>
      <c r="L15" s="9" t="str">
        <f>'N TRIBUTARIO'!K213</f>
        <v>NORTE</v>
      </c>
      <c r="M15" s="9" t="str">
        <f>'N TRIBUTARIO'!L213</f>
        <v>SAN MIGUEL</v>
      </c>
      <c r="N15" s="9">
        <f>'N TRIBUTARIO'!M213</f>
        <v>0</v>
      </c>
      <c r="O15" s="9">
        <f>'N TRIBUTARIO'!N213</f>
        <v>0</v>
      </c>
      <c r="P15" s="9">
        <f>'N TRIBUTARIO'!O213</f>
        <v>0</v>
      </c>
      <c r="Q15" s="9">
        <f>'N TRIBUTARIO'!P213</f>
        <v>1</v>
      </c>
      <c r="R15" s="9">
        <f>'N TRIBUTARIO'!Q213</f>
        <v>0</v>
      </c>
      <c r="S15" s="9">
        <f>'N TRIBUTARIO'!R213</f>
        <v>0</v>
      </c>
      <c r="T15" s="9">
        <f>'N TRIBUTARIO'!S213</f>
        <v>0</v>
      </c>
      <c r="U15" s="9" t="str">
        <f>'N TRIBUTARIO'!T213</f>
        <v>-</v>
      </c>
      <c r="V15" s="9" t="str">
        <f>'N TRIBUTARIO'!U213</f>
        <v xml:space="preserve"> </v>
      </c>
      <c r="W15" s="9" t="str">
        <f>'N TRIBUTARIO'!V213</f>
        <v>SAN GERARDO-1214-NORTE</v>
      </c>
      <c r="X15" s="9" t="str">
        <f>'N TRIBUTARIO'!W213</f>
        <v>1214-121079-001-1</v>
      </c>
      <c r="Y15" s="9" t="str">
        <f>'N TRIBUTARIO'!X213</f>
        <v>SAN GERARDO NORTE</v>
      </c>
      <c r="Z15" s="9" t="str">
        <f>'N TRIBUTARIO'!Y213</f>
        <v>1214-121079-001-1 SAN GERARDO NORTE</v>
      </c>
      <c r="AA15" s="9" t="str">
        <f>'N TRIBUTARIO'!Z213</f>
        <v>1214 SAN GERARDO-NORTE</v>
      </c>
      <c r="AB15" s="9">
        <f>'N TRIBUTARIO'!AA213</f>
        <v>0</v>
      </c>
      <c r="AC15" s="9">
        <f>'N TRIBUTARIO'!AB213</f>
        <v>0</v>
      </c>
      <c r="AD15" s="9">
        <f>'N TRIBUTARIO'!AC213</f>
        <v>0</v>
      </c>
    </row>
    <row r="16" spans="1:30" ht="19" customHeight="1" x14ac:dyDescent="0.4">
      <c r="A16" s="9">
        <f>'N TRIBUTARIO'!A214</f>
        <v>0</v>
      </c>
      <c r="B16" s="9" t="str">
        <f>'N TRIBUTARIO'!B214</f>
        <v>12</v>
      </c>
      <c r="C16" s="9" t="str">
        <f>'N TRIBUTARIO'!C214</f>
        <v>10</v>
      </c>
      <c r="D16" s="9" t="str">
        <f>'N TRIBUTARIO'!D214</f>
        <v>79</v>
      </c>
      <c r="E16" s="9" t="str">
        <f>'N TRIBUTARIO'!E214</f>
        <v>001</v>
      </c>
      <c r="F16" s="9">
        <f>'N TRIBUTARIO'!F214</f>
        <v>1</v>
      </c>
      <c r="G16" s="9">
        <f>'N TRIBUTARIO'!G214</f>
        <v>213</v>
      </c>
      <c r="H16" s="9" t="str">
        <f>'N TRIBUTARIO'!H214</f>
        <v>1215</v>
      </c>
      <c r="I16" s="9">
        <f>'N TRIBUTARIO'!I214</f>
        <v>0</v>
      </c>
      <c r="J16" s="9" t="s">
        <v>725</v>
      </c>
      <c r="K16" s="9" t="str">
        <f>'N TRIBUTARIO'!J214</f>
        <v>SAN JORGE</v>
      </c>
      <c r="L16" s="9" t="str">
        <f>'N TRIBUTARIO'!K214</f>
        <v>OESTE</v>
      </c>
      <c r="M16" s="9" t="str">
        <f>'N TRIBUTARIO'!L214</f>
        <v>SAN MIGUEL</v>
      </c>
      <c r="N16" s="9">
        <f>'N TRIBUTARIO'!M214</f>
        <v>0</v>
      </c>
      <c r="O16" s="9">
        <f>'N TRIBUTARIO'!N214</f>
        <v>0</v>
      </c>
      <c r="P16" s="9">
        <f>'N TRIBUTARIO'!O214</f>
        <v>0</v>
      </c>
      <c r="Q16" s="9">
        <f>'N TRIBUTARIO'!P214</f>
        <v>0</v>
      </c>
      <c r="R16" s="9">
        <f>'N TRIBUTARIO'!Q214</f>
        <v>1</v>
      </c>
      <c r="S16" s="9">
        <f>'N TRIBUTARIO'!R214</f>
        <v>0</v>
      </c>
      <c r="T16" s="9">
        <f>'N TRIBUTARIO'!S214</f>
        <v>0</v>
      </c>
      <c r="U16" s="9" t="str">
        <f>'N TRIBUTARIO'!T214</f>
        <v>-</v>
      </c>
      <c r="V16" s="9" t="str">
        <f>'N TRIBUTARIO'!U214</f>
        <v xml:space="preserve"> </v>
      </c>
      <c r="W16" s="9" t="str">
        <f>'N TRIBUTARIO'!V214</f>
        <v>SAN JORGE-1215-OESTE</v>
      </c>
      <c r="X16" s="9" t="str">
        <f>'N TRIBUTARIO'!W214</f>
        <v>1215-121079-001-1</v>
      </c>
      <c r="Y16" s="9" t="str">
        <f>'N TRIBUTARIO'!X214</f>
        <v>SAN JORGE OESTE</v>
      </c>
      <c r="Z16" s="9" t="str">
        <f>'N TRIBUTARIO'!Y214</f>
        <v>1215-121079-001-1 SAN JORGE OESTE</v>
      </c>
      <c r="AA16" s="9" t="str">
        <f>'N TRIBUTARIO'!Z214</f>
        <v>1215 SAN JORGE-OESTE</v>
      </c>
      <c r="AB16" s="9">
        <f>'N TRIBUTARIO'!AA214</f>
        <v>0</v>
      </c>
      <c r="AC16" s="9">
        <f>'N TRIBUTARIO'!AB214</f>
        <v>0</v>
      </c>
      <c r="AD16" s="9">
        <f>'N TRIBUTARIO'!AC214</f>
        <v>0</v>
      </c>
    </row>
    <row r="17" spans="1:30" ht="19" customHeight="1" x14ac:dyDescent="0.4">
      <c r="A17" s="9">
        <f>'N TRIBUTARIO'!A215</f>
        <v>0</v>
      </c>
      <c r="B17" s="9" t="str">
        <f>'N TRIBUTARIO'!B215</f>
        <v>12</v>
      </c>
      <c r="C17" s="9" t="str">
        <f>'N TRIBUTARIO'!C215</f>
        <v>10</v>
      </c>
      <c r="D17" s="9" t="str">
        <f>'N TRIBUTARIO'!D215</f>
        <v>79</v>
      </c>
      <c r="E17" s="9" t="str">
        <f>'N TRIBUTARIO'!E215</f>
        <v>001</v>
      </c>
      <c r="F17" s="9">
        <f>'N TRIBUTARIO'!F215</f>
        <v>1</v>
      </c>
      <c r="G17" s="9">
        <f>'N TRIBUTARIO'!G215</f>
        <v>214</v>
      </c>
      <c r="H17" s="9" t="str">
        <f>'N TRIBUTARIO'!H215</f>
        <v>1216</v>
      </c>
      <c r="I17" s="9">
        <f>'N TRIBUTARIO'!I215</f>
        <v>0</v>
      </c>
      <c r="J17" s="9" t="s">
        <v>725</v>
      </c>
      <c r="K17" s="9" t="str">
        <f>'N TRIBUTARIO'!J215</f>
        <v>SAN LUIS DE LA REINA</v>
      </c>
      <c r="L17" s="9" t="str">
        <f>'N TRIBUTARIO'!K215</f>
        <v>NORTE</v>
      </c>
      <c r="M17" s="9" t="str">
        <f>'N TRIBUTARIO'!L215</f>
        <v>SAN MIGUEL</v>
      </c>
      <c r="N17" s="9">
        <f>'N TRIBUTARIO'!M215</f>
        <v>0</v>
      </c>
      <c r="O17" s="9">
        <f>'N TRIBUTARIO'!N215</f>
        <v>0</v>
      </c>
      <c r="P17" s="9">
        <f>'N TRIBUTARIO'!O215</f>
        <v>0</v>
      </c>
      <c r="Q17" s="9">
        <f>'N TRIBUTARIO'!P215</f>
        <v>1</v>
      </c>
      <c r="R17" s="9">
        <f>'N TRIBUTARIO'!Q215</f>
        <v>0</v>
      </c>
      <c r="S17" s="9">
        <f>'N TRIBUTARIO'!R215</f>
        <v>0</v>
      </c>
      <c r="T17" s="9">
        <f>'N TRIBUTARIO'!S215</f>
        <v>0</v>
      </c>
      <c r="U17" s="9" t="str">
        <f>'N TRIBUTARIO'!T215</f>
        <v>-</v>
      </c>
      <c r="V17" s="9" t="str">
        <f>'N TRIBUTARIO'!U215</f>
        <v xml:space="preserve"> </v>
      </c>
      <c r="W17" s="9" t="str">
        <f>'N TRIBUTARIO'!V215</f>
        <v>SAN LUIS DE LA REINA-1216-NORTE</v>
      </c>
      <c r="X17" s="9" t="str">
        <f>'N TRIBUTARIO'!W215</f>
        <v>1216-121079-001-1</v>
      </c>
      <c r="Y17" s="9" t="str">
        <f>'N TRIBUTARIO'!X215</f>
        <v>SAN LUIS DE LA REINA NORTE</v>
      </c>
      <c r="Z17" s="9" t="str">
        <f>'N TRIBUTARIO'!Y215</f>
        <v>1216-121079-001-1 SAN LUIS DE LA REINA NORTE</v>
      </c>
      <c r="AA17" s="9" t="str">
        <f>'N TRIBUTARIO'!Z215</f>
        <v>1216 SAN LUIS DE LA REINA-NORTE</v>
      </c>
      <c r="AB17" s="9">
        <f>'N TRIBUTARIO'!AA215</f>
        <v>0</v>
      </c>
      <c r="AC17" s="9">
        <f>'N TRIBUTARIO'!AB215</f>
        <v>0</v>
      </c>
      <c r="AD17" s="9">
        <f>'N TRIBUTARIO'!AC215</f>
        <v>0</v>
      </c>
    </row>
    <row r="18" spans="1:30" ht="19" customHeight="1" x14ac:dyDescent="0.4">
      <c r="A18" s="9" t="str">
        <f>'N TRIBUTARIO'!A216</f>
        <v>1C</v>
      </c>
      <c r="B18" s="9" t="str">
        <f>'N TRIBUTARIO'!B216</f>
        <v>01</v>
      </c>
      <c r="C18" s="9" t="str">
        <f>'N TRIBUTARIO'!C216</f>
        <v>06</v>
      </c>
      <c r="D18" s="9" t="str">
        <f>'N TRIBUTARIO'!D216</f>
        <v>11</v>
      </c>
      <c r="E18" s="9" t="str">
        <f>'N TRIBUTARIO'!E216</f>
        <v>001</v>
      </c>
      <c r="F18" s="9">
        <f>'N TRIBUTARIO'!F216</f>
        <v>6</v>
      </c>
      <c r="G18" s="9">
        <f>'N TRIBUTARIO'!G216</f>
        <v>215</v>
      </c>
      <c r="H18" s="9" t="str">
        <f>'N TRIBUTARIO'!H216</f>
        <v>1217</v>
      </c>
      <c r="I18" s="9">
        <f>'N TRIBUTARIO'!I216</f>
        <v>12</v>
      </c>
      <c r="J18" s="9" t="s">
        <v>725</v>
      </c>
      <c r="K18" s="9" t="str">
        <f>'N TRIBUTARIO'!J216</f>
        <v>SAN MIGUEL</v>
      </c>
      <c r="L18" s="9" t="str">
        <f>'N TRIBUTARIO'!K216</f>
        <v>CENTRO</v>
      </c>
      <c r="M18" s="9" t="str">
        <f>'N TRIBUTARIO'!L216</f>
        <v>SAN MIGUEL</v>
      </c>
      <c r="N18" s="9">
        <f>'N TRIBUTARIO'!M216</f>
        <v>1</v>
      </c>
      <c r="O18" s="9">
        <f>'N TRIBUTARIO'!N216</f>
        <v>0</v>
      </c>
      <c r="P18" s="9">
        <f>'N TRIBUTARIO'!O216</f>
        <v>0</v>
      </c>
      <c r="Q18" s="9">
        <f>'N TRIBUTARIO'!P216</f>
        <v>0</v>
      </c>
      <c r="R18" s="9">
        <f>'N TRIBUTARIO'!Q216</f>
        <v>0</v>
      </c>
      <c r="S18" s="9">
        <f>'N TRIBUTARIO'!R216</f>
        <v>0</v>
      </c>
      <c r="T18" s="9">
        <f>'N TRIBUTARIO'!S216</f>
        <v>0</v>
      </c>
      <c r="U18" s="9" t="str">
        <f>'N TRIBUTARIO'!T216</f>
        <v>-</v>
      </c>
      <c r="V18" s="9" t="str">
        <f>'N TRIBUTARIO'!U216</f>
        <v xml:space="preserve"> </v>
      </c>
      <c r="W18" s="9" t="str">
        <f>'N TRIBUTARIO'!V216</f>
        <v>SAN MIGUEL-1217-CENTRO</v>
      </c>
      <c r="X18" s="9" t="str">
        <f>'N TRIBUTARIO'!W216</f>
        <v>1217-010611-001-6</v>
      </c>
      <c r="Y18" s="9" t="str">
        <f>'N TRIBUTARIO'!X216</f>
        <v>SAN MIGUEL CENTRO</v>
      </c>
      <c r="Z18" s="9" t="str">
        <f>'N TRIBUTARIO'!Y216</f>
        <v>1217-010611-001-6 SAN MIGUEL CENTRO</v>
      </c>
      <c r="AA18" s="9" t="str">
        <f>'N TRIBUTARIO'!Z216</f>
        <v>1217 SAN MIGUEL-CENTRO</v>
      </c>
      <c r="AB18" s="9">
        <f>'N TRIBUTARIO'!AA216</f>
        <v>997.08</v>
      </c>
      <c r="AC18" s="9">
        <f>'N TRIBUTARIO'!AB216</f>
        <v>398361</v>
      </c>
      <c r="AD18" s="9">
        <f>'N TRIBUTARIO'!AC216</f>
        <v>399.53</v>
      </c>
    </row>
    <row r="19" spans="1:30" ht="19" customHeight="1" x14ac:dyDescent="0.4">
      <c r="A19" s="9">
        <f>'N TRIBUTARIO'!A217</f>
        <v>0</v>
      </c>
      <c r="B19" s="9" t="str">
        <f>'N TRIBUTARIO'!B217</f>
        <v>12</v>
      </c>
      <c r="C19" s="9" t="str">
        <f>'N TRIBUTARIO'!C217</f>
        <v>10</v>
      </c>
      <c r="D19" s="9" t="str">
        <f>'N TRIBUTARIO'!D217</f>
        <v>79</v>
      </c>
      <c r="E19" s="9" t="str">
        <f>'N TRIBUTARIO'!E217</f>
        <v>001</v>
      </c>
      <c r="F19" s="9">
        <f>'N TRIBUTARIO'!F217</f>
        <v>1</v>
      </c>
      <c r="G19" s="9">
        <f>'N TRIBUTARIO'!G217</f>
        <v>216</v>
      </c>
      <c r="H19" s="9" t="str">
        <f>'N TRIBUTARIO'!H217</f>
        <v>1218</v>
      </c>
      <c r="I19" s="9">
        <f>'N TRIBUTARIO'!I217</f>
        <v>0</v>
      </c>
      <c r="J19" s="9" t="s">
        <v>725</v>
      </c>
      <c r="K19" s="9" t="str">
        <f>'N TRIBUTARIO'!J217</f>
        <v>SAN RAFAEL ORIENTE</v>
      </c>
      <c r="L19" s="9" t="str">
        <f>'N TRIBUTARIO'!K217</f>
        <v>OESTE</v>
      </c>
      <c r="M19" s="9" t="str">
        <f>'N TRIBUTARIO'!L217</f>
        <v>SAN MIGUEL</v>
      </c>
      <c r="N19" s="9">
        <f>'N TRIBUTARIO'!M217</f>
        <v>0</v>
      </c>
      <c r="O19" s="9">
        <f>'N TRIBUTARIO'!N217</f>
        <v>0</v>
      </c>
      <c r="P19" s="9">
        <f>'N TRIBUTARIO'!O217</f>
        <v>0</v>
      </c>
      <c r="Q19" s="9">
        <f>'N TRIBUTARIO'!P217</f>
        <v>0</v>
      </c>
      <c r="R19" s="9">
        <f>'N TRIBUTARIO'!Q217</f>
        <v>1</v>
      </c>
      <c r="S19" s="9">
        <f>'N TRIBUTARIO'!R217</f>
        <v>0</v>
      </c>
      <c r="T19" s="9">
        <f>'N TRIBUTARIO'!S217</f>
        <v>0</v>
      </c>
      <c r="U19" s="9" t="str">
        <f>'N TRIBUTARIO'!T217</f>
        <v>-</v>
      </c>
      <c r="V19" s="9" t="str">
        <f>'N TRIBUTARIO'!U217</f>
        <v xml:space="preserve"> </v>
      </c>
      <c r="W19" s="9" t="str">
        <f>'N TRIBUTARIO'!V217</f>
        <v>SAN RAFAEL ORIENTE-1218-OESTE</v>
      </c>
      <c r="X19" s="9" t="str">
        <f>'N TRIBUTARIO'!W217</f>
        <v>1218-121079-001-1</v>
      </c>
      <c r="Y19" s="9" t="str">
        <f>'N TRIBUTARIO'!X217</f>
        <v>SAN RAFAEL ORIENTE OESTE</v>
      </c>
      <c r="Z19" s="9" t="str">
        <f>'N TRIBUTARIO'!Y217</f>
        <v>1218-121079-001-1 SAN RAFAEL ORIENTE OESTE</v>
      </c>
      <c r="AA19" s="9" t="str">
        <f>'N TRIBUTARIO'!Z217</f>
        <v>1218 SAN RAFAEL ORIENTE-OESTE</v>
      </c>
      <c r="AB19" s="9">
        <f>'N TRIBUTARIO'!AA217</f>
        <v>0</v>
      </c>
      <c r="AC19" s="9">
        <f>'N TRIBUTARIO'!AB217</f>
        <v>0</v>
      </c>
      <c r="AD19" s="9">
        <f>'N TRIBUTARIO'!AC217</f>
        <v>0</v>
      </c>
    </row>
    <row r="20" spans="1:30" ht="19" customHeight="1" x14ac:dyDescent="0.4">
      <c r="A20" s="9">
        <f>'N TRIBUTARIO'!A218</f>
        <v>0</v>
      </c>
      <c r="B20" s="9" t="str">
        <f>'N TRIBUTARIO'!B218</f>
        <v>12</v>
      </c>
      <c r="C20" s="9" t="str">
        <f>'N TRIBUTARIO'!C218</f>
        <v>10</v>
      </c>
      <c r="D20" s="9" t="str">
        <f>'N TRIBUTARIO'!D218</f>
        <v>79</v>
      </c>
      <c r="E20" s="9" t="str">
        <f>'N TRIBUTARIO'!E218</f>
        <v>001</v>
      </c>
      <c r="F20" s="9">
        <f>'N TRIBUTARIO'!F218</f>
        <v>1</v>
      </c>
      <c r="G20" s="9">
        <f>'N TRIBUTARIO'!G218</f>
        <v>217</v>
      </c>
      <c r="H20" s="9" t="str">
        <f>'N TRIBUTARIO'!H218</f>
        <v>1219</v>
      </c>
      <c r="I20" s="9">
        <f>'N TRIBUTARIO'!I218</f>
        <v>0</v>
      </c>
      <c r="J20" s="9" t="s">
        <v>725</v>
      </c>
      <c r="K20" s="9" t="str">
        <f>'N TRIBUTARIO'!J218</f>
        <v>SESORI</v>
      </c>
      <c r="L20" s="9" t="str">
        <f>'N TRIBUTARIO'!K218</f>
        <v>NORTE</v>
      </c>
      <c r="M20" s="9" t="str">
        <f>'N TRIBUTARIO'!L218</f>
        <v>SAN MIGUEL</v>
      </c>
      <c r="N20" s="9">
        <f>'N TRIBUTARIO'!M218</f>
        <v>0</v>
      </c>
      <c r="O20" s="9">
        <f>'N TRIBUTARIO'!N218</f>
        <v>0</v>
      </c>
      <c r="P20" s="9">
        <f>'N TRIBUTARIO'!O218</f>
        <v>0</v>
      </c>
      <c r="Q20" s="9">
        <f>'N TRIBUTARIO'!P218</f>
        <v>1</v>
      </c>
      <c r="R20" s="9">
        <f>'N TRIBUTARIO'!Q218</f>
        <v>0</v>
      </c>
      <c r="S20" s="9">
        <f>'N TRIBUTARIO'!R218</f>
        <v>0</v>
      </c>
      <c r="T20" s="9">
        <f>'N TRIBUTARIO'!S218</f>
        <v>0</v>
      </c>
      <c r="U20" s="9" t="str">
        <f>'N TRIBUTARIO'!T218</f>
        <v>-</v>
      </c>
      <c r="V20" s="9" t="str">
        <f>'N TRIBUTARIO'!U218</f>
        <v xml:space="preserve"> </v>
      </c>
      <c r="W20" s="9" t="str">
        <f>'N TRIBUTARIO'!V218</f>
        <v>SESORI-1219-NORTE</v>
      </c>
      <c r="X20" s="9" t="str">
        <f>'N TRIBUTARIO'!W218</f>
        <v>1219-121079-001-1</v>
      </c>
      <c r="Y20" s="9" t="str">
        <f>'N TRIBUTARIO'!X218</f>
        <v>SESORI NORTE</v>
      </c>
      <c r="Z20" s="9" t="str">
        <f>'N TRIBUTARIO'!Y218</f>
        <v>1219-121079-001-1 SESORI NORTE</v>
      </c>
      <c r="AA20" s="9" t="str">
        <f>'N TRIBUTARIO'!Z218</f>
        <v>1219 SESORI-NORTE</v>
      </c>
      <c r="AB20" s="9">
        <f>'N TRIBUTARIO'!AA218</f>
        <v>0</v>
      </c>
      <c r="AC20" s="9">
        <f>'N TRIBUTARIO'!AB218</f>
        <v>0</v>
      </c>
      <c r="AD20" s="9">
        <f>'N TRIBUTARIO'!AC218</f>
        <v>0</v>
      </c>
    </row>
    <row r="21" spans="1:30" ht="19" customHeight="1" x14ac:dyDescent="0.4">
      <c r="A21" s="9">
        <f>'N TRIBUTARIO'!A219</f>
        <v>0</v>
      </c>
      <c r="B21" s="9" t="str">
        <f>'N TRIBUTARIO'!B219</f>
        <v>12</v>
      </c>
      <c r="C21" s="9" t="str">
        <f>'N TRIBUTARIO'!C219</f>
        <v>10</v>
      </c>
      <c r="D21" s="9" t="str">
        <f>'N TRIBUTARIO'!D219</f>
        <v>79</v>
      </c>
      <c r="E21" s="9" t="str">
        <f>'N TRIBUTARIO'!E219</f>
        <v>001</v>
      </c>
      <c r="F21" s="9">
        <f>'N TRIBUTARIO'!F219</f>
        <v>2</v>
      </c>
      <c r="G21" s="9">
        <f>'N TRIBUTARIO'!G219</f>
        <v>218</v>
      </c>
      <c r="H21" s="9" t="str">
        <f>'N TRIBUTARIO'!H219</f>
        <v>1220</v>
      </c>
      <c r="I21" s="9">
        <f>'N TRIBUTARIO'!I219</f>
        <v>0</v>
      </c>
      <c r="J21" s="9" t="s">
        <v>725</v>
      </c>
      <c r="K21" s="9" t="str">
        <f>'N TRIBUTARIO'!J219</f>
        <v>ULUAZAPA</v>
      </c>
      <c r="L21" s="9" t="str">
        <f>'N TRIBUTARIO'!K219</f>
        <v>CENTRO</v>
      </c>
      <c r="M21" s="9" t="str">
        <f>'N TRIBUTARIO'!L219</f>
        <v>SAN MIGUEL</v>
      </c>
      <c r="N21" s="9">
        <f>'N TRIBUTARIO'!M219</f>
        <v>1</v>
      </c>
      <c r="O21" s="9">
        <f>'N TRIBUTARIO'!N219</f>
        <v>0</v>
      </c>
      <c r="P21" s="9">
        <f>'N TRIBUTARIO'!O219</f>
        <v>0</v>
      </c>
      <c r="Q21" s="9">
        <f>'N TRIBUTARIO'!P219</f>
        <v>0</v>
      </c>
      <c r="R21" s="9">
        <f>'N TRIBUTARIO'!Q219</f>
        <v>0</v>
      </c>
      <c r="S21" s="9">
        <f>'N TRIBUTARIO'!R219</f>
        <v>0</v>
      </c>
      <c r="T21" s="9">
        <f>'N TRIBUTARIO'!S219</f>
        <v>0</v>
      </c>
      <c r="U21" s="9" t="str">
        <f>'N TRIBUTARIO'!T219</f>
        <v>-</v>
      </c>
      <c r="V21" s="9" t="str">
        <f>'N TRIBUTARIO'!U219</f>
        <v xml:space="preserve"> </v>
      </c>
      <c r="W21" s="9" t="str">
        <f>'N TRIBUTARIO'!V219</f>
        <v>ULUAZAPA-1220-CENTRO</v>
      </c>
      <c r="X21" s="9" t="str">
        <f>'N TRIBUTARIO'!W219</f>
        <v>1220-121079-001-2</v>
      </c>
      <c r="Y21" s="9" t="str">
        <f>'N TRIBUTARIO'!X219</f>
        <v>ULUAZAPA CENTRO</v>
      </c>
      <c r="Z21" s="9" t="str">
        <f>'N TRIBUTARIO'!Y219</f>
        <v>1220-121079-001-2 ULUAZAPA CENTRO</v>
      </c>
      <c r="AA21" s="9" t="str">
        <f>'N TRIBUTARIO'!Z219</f>
        <v>1220 ULUAZAPA-CENTRO</v>
      </c>
      <c r="AB21" s="9">
        <f>'N TRIBUTARIO'!AA219</f>
        <v>0</v>
      </c>
      <c r="AC21" s="9">
        <f>'N TRIBUTARIO'!AB219</f>
        <v>0</v>
      </c>
      <c r="AD21" s="9">
        <f>'N TRIBUTARIO'!AC219</f>
        <v>0</v>
      </c>
    </row>
    <row r="22" spans="1:30" ht="19" customHeight="1" x14ac:dyDescent="0.4">
      <c r="N22" s="1">
        <f>SUM(N2:N21)</f>
        <v>6</v>
      </c>
      <c r="O22" s="1">
        <f t="shared" ref="O22:T22" si="0">SUM(O2:O21)</f>
        <v>0</v>
      </c>
      <c r="P22" s="1">
        <f t="shared" si="0"/>
        <v>0</v>
      </c>
      <c r="Q22" s="1">
        <f t="shared" si="0"/>
        <v>8</v>
      </c>
      <c r="R22" s="1">
        <f t="shared" si="0"/>
        <v>6</v>
      </c>
      <c r="S22" s="1">
        <f t="shared" si="0"/>
        <v>0</v>
      </c>
      <c r="T22" s="1">
        <f t="shared" si="0"/>
        <v>0</v>
      </c>
    </row>
    <row r="23" spans="1:30" ht="19" customHeight="1" x14ac:dyDescent="0.4">
      <c r="J23" s="1" t="str">
        <f>N1</f>
        <v>CENTRO</v>
      </c>
      <c r="K23" s="1" t="str">
        <f>CONCATENATE(K4,J4,K7,J7,K10,J10,K13,J13,K18,J18,K21)</f>
        <v>COMACARAN, CHIRILAGUA, MONCAGUA, QUELEPA, SAN MIGUEL, ULUAZAPA</v>
      </c>
    </row>
    <row r="24" spans="1:30" ht="19" customHeight="1" x14ac:dyDescent="0.4">
      <c r="J24" s="1" t="str">
        <f>Q1</f>
        <v>NORTE</v>
      </c>
      <c r="K24" s="1" t="str">
        <f>CONCATENATE(K2,J2,K3,J3,K5,J5,K12,J12,K14,J14,K15,J15,K17,J17,K20)</f>
        <v>CAROLINA, CIUDAD BARRIOS, CHAPELTIQUE, NUEVO EDEN DE SAN JUAN, SAN ANTONIO DEL MOSCO, SAN GERARDO, SAN LUIS DE LA REINA, SESORI</v>
      </c>
    </row>
    <row r="25" spans="1:30" ht="19" customHeight="1" x14ac:dyDescent="0.4">
      <c r="J25" s="1" t="str">
        <f>R1</f>
        <v>OESTE</v>
      </c>
      <c r="K25" s="1" t="str">
        <f>CONCATENATE(K6,J6,K8,J8,K9,J9,K11,J11,K16,J16,K19)</f>
        <v>CHINAMECA, EL TRANSITO, LOLOTIQUE, NUEVA GUADALUPE, SAN JORGE, SAN RAFAEL ORIENTE</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77B47-C524-4182-85DF-B4019D4D897E}">
  <sheetPr codeName="Hoja20"/>
  <dimension ref="A1:AD30"/>
  <sheetViews>
    <sheetView showZeros="0" topLeftCell="A14" workbookViewId="0">
      <selection sqref="A1:XFD1048576"/>
    </sheetView>
  </sheetViews>
  <sheetFormatPr baseColWidth="10" defaultRowHeight="19" customHeight="1" x14ac:dyDescent="0.4"/>
  <cols>
    <col min="1" max="1" width="6.33203125" style="1" bestFit="1" customWidth="1"/>
    <col min="2" max="2" width="2.53125" style="1" bestFit="1" customWidth="1"/>
    <col min="3" max="4" width="2.6640625" style="1" bestFit="1" customWidth="1"/>
    <col min="5" max="5" width="3.59765625" style="1" bestFit="1" customWidth="1"/>
    <col min="6" max="6" width="4.3984375" style="1" bestFit="1" customWidth="1"/>
    <col min="7" max="7" width="4.796875" style="1" bestFit="1" customWidth="1"/>
    <col min="8" max="8" width="7.3984375" style="1" bestFit="1" customWidth="1"/>
    <col min="9" max="9" width="8.6640625" style="1" bestFit="1" customWidth="1"/>
    <col min="10" max="10" width="8.6640625" style="1" customWidth="1"/>
    <col min="11" max="11" width="15.265625" style="1" bestFit="1" customWidth="1"/>
    <col min="12" max="12" width="4.1328125" style="1" bestFit="1" customWidth="1"/>
    <col min="13" max="13" width="13.33203125" style="1" bestFit="1" customWidth="1"/>
    <col min="14" max="14" width="4.46484375" style="1" bestFit="1" customWidth="1"/>
    <col min="15" max="15" width="3.73046875" style="1" bestFit="1" customWidth="1"/>
    <col min="16" max="16" width="3" style="1" bestFit="1" customWidth="1"/>
    <col min="17" max="17" width="3.86328125" style="1" bestFit="1" customWidth="1"/>
    <col min="18" max="18" width="3.6640625" style="1" bestFit="1" customWidth="1"/>
    <col min="19" max="19" width="2.53125" style="1" bestFit="1" customWidth="1"/>
    <col min="20" max="20" width="9.86328125" style="1" bestFit="1" customWidth="1"/>
    <col min="21" max="22" width="0.86328125" style="1" bestFit="1" customWidth="1"/>
    <col min="23" max="23" width="19.06640625" style="1" bestFit="1" customWidth="1"/>
    <col min="24" max="24" width="8.33203125" style="1" bestFit="1" customWidth="1"/>
    <col min="25" max="25" width="16.86328125" style="1" bestFit="1" customWidth="1"/>
    <col min="26" max="26" width="27.86328125" style="1" bestFit="1" customWidth="1"/>
    <col min="27" max="27" width="21.46484375" style="1" bestFit="1" customWidth="1"/>
    <col min="28" max="28" width="6.46484375" style="1" bestFit="1" customWidth="1"/>
    <col min="29" max="29" width="6.33203125" style="1" bestFit="1" customWidth="1"/>
    <col min="30" max="30" width="11.9296875" style="1" bestFit="1" customWidth="1"/>
    <col min="31" max="16384" width="10.6640625" style="1"/>
  </cols>
  <sheetData>
    <row r="1" spans="1:30" ht="19" customHeight="1" x14ac:dyDescent="0.4">
      <c r="A1" s="3" t="s">
        <v>317</v>
      </c>
      <c r="B1" s="4" t="s">
        <v>318</v>
      </c>
      <c r="C1" s="4" t="s">
        <v>319</v>
      </c>
      <c r="D1" s="4" t="s">
        <v>320</v>
      </c>
      <c r="E1" s="4" t="s">
        <v>321</v>
      </c>
      <c r="F1" s="5" t="s">
        <v>322</v>
      </c>
      <c r="G1" s="6" t="s">
        <v>323</v>
      </c>
      <c r="H1" s="6" t="s">
        <v>324</v>
      </c>
      <c r="I1" s="7" t="s">
        <v>325</v>
      </c>
      <c r="J1" s="7"/>
      <c r="K1" s="3" t="s">
        <v>326</v>
      </c>
      <c r="L1" s="3" t="s">
        <v>327</v>
      </c>
      <c r="M1" s="3" t="s">
        <v>328</v>
      </c>
      <c r="N1" s="3" t="s">
        <v>329</v>
      </c>
      <c r="O1" s="3" t="s">
        <v>330</v>
      </c>
      <c r="P1" s="3" t="s">
        <v>331</v>
      </c>
      <c r="Q1" s="3" t="s">
        <v>332</v>
      </c>
      <c r="R1" s="3" t="s">
        <v>333</v>
      </c>
      <c r="S1" s="3" t="s">
        <v>334</v>
      </c>
      <c r="T1" s="3" t="s">
        <v>335</v>
      </c>
      <c r="W1" s="3" t="s">
        <v>336</v>
      </c>
      <c r="X1" s="3" t="s">
        <v>337</v>
      </c>
      <c r="Y1" s="3" t="s">
        <v>338</v>
      </c>
      <c r="Z1" s="3" t="s">
        <v>339</v>
      </c>
      <c r="AA1" s="3" t="s">
        <v>340</v>
      </c>
      <c r="AB1" s="7" t="s">
        <v>341</v>
      </c>
      <c r="AC1" s="7" t="s">
        <v>342</v>
      </c>
      <c r="AD1" s="7" t="s">
        <v>343</v>
      </c>
    </row>
    <row r="2" spans="1:30" ht="19" customHeight="1" x14ac:dyDescent="0.4">
      <c r="A2" s="8" t="str">
        <f>'N TRIBUTARIO'!A220</f>
        <v>N1</v>
      </c>
      <c r="B2" s="8" t="str">
        <f>'N TRIBUTARIO'!B220</f>
        <v>13</v>
      </c>
      <c r="C2" s="8" t="str">
        <f>'N TRIBUTARIO'!C220</f>
        <v>10</v>
      </c>
      <c r="D2" s="8" t="str">
        <f>'N TRIBUTARIO'!D220</f>
        <v>79</v>
      </c>
      <c r="E2" s="8" t="str">
        <f>'N TRIBUTARIO'!E220</f>
        <v>001</v>
      </c>
      <c r="F2" s="8">
        <f>'N TRIBUTARIO'!F220</f>
        <v>0</v>
      </c>
      <c r="G2" s="8">
        <f>'N TRIBUTARIO'!G220</f>
        <v>219</v>
      </c>
      <c r="H2" s="8" t="str">
        <f>'N TRIBUTARIO'!H220</f>
        <v>1301</v>
      </c>
      <c r="I2" s="8">
        <f>'N TRIBUTARIO'!I220</f>
        <v>0</v>
      </c>
      <c r="J2" s="8" t="s">
        <v>725</v>
      </c>
      <c r="K2" s="8" t="str">
        <f>'N TRIBUTARIO'!J220</f>
        <v>ARAMBALA</v>
      </c>
      <c r="L2" s="8" t="str">
        <f>'N TRIBUTARIO'!K220</f>
        <v>NORTE</v>
      </c>
      <c r="M2" s="8" t="str">
        <f>'N TRIBUTARIO'!L220</f>
        <v>MORAZAN</v>
      </c>
      <c r="N2" s="8">
        <f>'N TRIBUTARIO'!M220</f>
        <v>0</v>
      </c>
      <c r="O2" s="8">
        <f>'N TRIBUTARIO'!N220</f>
        <v>0</v>
      </c>
      <c r="P2" s="8">
        <f>'N TRIBUTARIO'!O220</f>
        <v>0</v>
      </c>
      <c r="Q2" s="8">
        <f>'N TRIBUTARIO'!P220</f>
        <v>1</v>
      </c>
      <c r="R2" s="8">
        <f>'N TRIBUTARIO'!Q220</f>
        <v>0</v>
      </c>
      <c r="S2" s="8">
        <f>'N TRIBUTARIO'!R220</f>
        <v>0</v>
      </c>
      <c r="T2" s="8">
        <f>'N TRIBUTARIO'!S220</f>
        <v>0</v>
      </c>
      <c r="U2" s="8" t="str">
        <f>'N TRIBUTARIO'!T220</f>
        <v>-</v>
      </c>
      <c r="V2" s="8" t="str">
        <f>'N TRIBUTARIO'!U220</f>
        <v xml:space="preserve"> </v>
      </c>
      <c r="W2" s="8" t="str">
        <f>'N TRIBUTARIO'!V220</f>
        <v>ARAMBALA-1301-NORTE</v>
      </c>
      <c r="X2" s="8" t="str">
        <f>'N TRIBUTARIO'!W220</f>
        <v>1301-131079-001-0</v>
      </c>
      <c r="Y2" s="8" t="str">
        <f>'N TRIBUTARIO'!X220</f>
        <v>ARAMBALA NORTE</v>
      </c>
      <c r="Z2" s="8" t="str">
        <f>'N TRIBUTARIO'!Y220</f>
        <v>1301-131079-001-0 ARAMBALA NORTE</v>
      </c>
      <c r="AA2" s="8" t="str">
        <f>'N TRIBUTARIO'!Z220</f>
        <v>1301 ARAMBALA-NORTE</v>
      </c>
      <c r="AB2" s="8">
        <f>'N TRIBUTARIO'!AA220</f>
        <v>735.15</v>
      </c>
      <c r="AC2" s="8">
        <f>'N TRIBUTARIO'!AB220</f>
        <v>55012</v>
      </c>
      <c r="AD2" s="8">
        <f>'N TRIBUTARIO'!AC220</f>
        <v>74.83</v>
      </c>
    </row>
    <row r="3" spans="1:30" ht="19" customHeight="1" x14ac:dyDescent="0.4">
      <c r="A3" s="8">
        <f>'N TRIBUTARIO'!A221</f>
        <v>0</v>
      </c>
      <c r="B3" s="8" t="str">
        <f>'N TRIBUTARIO'!B221</f>
        <v>13</v>
      </c>
      <c r="C3" s="8" t="str">
        <f>'N TRIBUTARIO'!C221</f>
        <v>10</v>
      </c>
      <c r="D3" s="8" t="str">
        <f>'N TRIBUTARIO'!D221</f>
        <v>79</v>
      </c>
      <c r="E3" s="8" t="str">
        <f>'N TRIBUTARIO'!E221</f>
        <v>001</v>
      </c>
      <c r="F3" s="8">
        <f>'N TRIBUTARIO'!F221</f>
        <v>0</v>
      </c>
      <c r="G3" s="8">
        <f>'N TRIBUTARIO'!G221</f>
        <v>220</v>
      </c>
      <c r="H3" s="8" t="str">
        <f>'N TRIBUTARIO'!H221</f>
        <v>1302</v>
      </c>
      <c r="I3" s="8">
        <f>'N TRIBUTARIO'!I221</f>
        <v>0</v>
      </c>
      <c r="J3" s="8" t="s">
        <v>725</v>
      </c>
      <c r="K3" s="8" t="str">
        <f>'N TRIBUTARIO'!J221</f>
        <v>CACAOPERA</v>
      </c>
      <c r="L3" s="8" t="str">
        <f>'N TRIBUTARIO'!K221</f>
        <v>NORTE</v>
      </c>
      <c r="M3" s="8" t="str">
        <f>'N TRIBUTARIO'!L221</f>
        <v>MORAZAN</v>
      </c>
      <c r="N3" s="8">
        <f>'N TRIBUTARIO'!M221</f>
        <v>0</v>
      </c>
      <c r="O3" s="8">
        <f>'N TRIBUTARIO'!N221</f>
        <v>0</v>
      </c>
      <c r="P3" s="8">
        <f>'N TRIBUTARIO'!O221</f>
        <v>0</v>
      </c>
      <c r="Q3" s="8">
        <f>'N TRIBUTARIO'!P221</f>
        <v>1</v>
      </c>
      <c r="R3" s="8">
        <f>'N TRIBUTARIO'!Q221</f>
        <v>0</v>
      </c>
      <c r="S3" s="8">
        <f>'N TRIBUTARIO'!R221</f>
        <v>0</v>
      </c>
      <c r="T3" s="8">
        <f>'N TRIBUTARIO'!S221</f>
        <v>0</v>
      </c>
      <c r="U3" s="8" t="str">
        <f>'N TRIBUTARIO'!T221</f>
        <v>-</v>
      </c>
      <c r="V3" s="8" t="str">
        <f>'N TRIBUTARIO'!U221</f>
        <v xml:space="preserve"> </v>
      </c>
      <c r="W3" s="8" t="str">
        <f>'N TRIBUTARIO'!V221</f>
        <v>CACAOPERA-1302-NORTE</v>
      </c>
      <c r="X3" s="8" t="str">
        <f>'N TRIBUTARIO'!W221</f>
        <v>1302-131079-001-0</v>
      </c>
      <c r="Y3" s="8" t="str">
        <f>'N TRIBUTARIO'!X221</f>
        <v>CACAOPERA NORTE</v>
      </c>
      <c r="Z3" s="8" t="str">
        <f>'N TRIBUTARIO'!Y221</f>
        <v>1302-131079-001-0 CACAOPERA NORTE</v>
      </c>
      <c r="AA3" s="8" t="str">
        <f>'N TRIBUTARIO'!Z221</f>
        <v>1302 CACAOPERA-NORTE</v>
      </c>
      <c r="AB3" s="8">
        <f>'N TRIBUTARIO'!AA221</f>
        <v>0</v>
      </c>
      <c r="AC3" s="8">
        <f>'N TRIBUTARIO'!AB221</f>
        <v>0</v>
      </c>
      <c r="AD3" s="8">
        <f>'N TRIBUTARIO'!AC221</f>
        <v>0</v>
      </c>
    </row>
    <row r="4" spans="1:30" ht="19" customHeight="1" x14ac:dyDescent="0.4">
      <c r="A4" s="8">
        <f>'N TRIBUTARIO'!A222</f>
        <v>0</v>
      </c>
      <c r="B4" s="8" t="str">
        <f>'N TRIBUTARIO'!B222</f>
        <v>13</v>
      </c>
      <c r="C4" s="8" t="str">
        <f>'N TRIBUTARIO'!C222</f>
        <v>10</v>
      </c>
      <c r="D4" s="8" t="str">
        <f>'N TRIBUTARIO'!D222</f>
        <v>79</v>
      </c>
      <c r="E4" s="8" t="str">
        <f>'N TRIBUTARIO'!E222</f>
        <v>001</v>
      </c>
      <c r="F4" s="8">
        <f>'N TRIBUTARIO'!F222</f>
        <v>0</v>
      </c>
      <c r="G4" s="8">
        <f>'N TRIBUTARIO'!G222</f>
        <v>221</v>
      </c>
      <c r="H4" s="8" t="str">
        <f>'N TRIBUTARIO'!H222</f>
        <v>1303</v>
      </c>
      <c r="I4" s="8">
        <f>'N TRIBUTARIO'!I222</f>
        <v>0</v>
      </c>
      <c r="J4" s="8" t="s">
        <v>725</v>
      </c>
      <c r="K4" s="8" t="str">
        <f>'N TRIBUTARIO'!J222</f>
        <v>CORINTO</v>
      </c>
      <c r="L4" s="8" t="str">
        <f>'N TRIBUTARIO'!K222</f>
        <v>NORTE</v>
      </c>
      <c r="M4" s="8" t="str">
        <f>'N TRIBUTARIO'!L222</f>
        <v>MORAZAN</v>
      </c>
      <c r="N4" s="8">
        <f>'N TRIBUTARIO'!M222</f>
        <v>0</v>
      </c>
      <c r="O4" s="8">
        <f>'N TRIBUTARIO'!N222</f>
        <v>0</v>
      </c>
      <c r="P4" s="8">
        <f>'N TRIBUTARIO'!O222</f>
        <v>0</v>
      </c>
      <c r="Q4" s="8">
        <f>'N TRIBUTARIO'!P222</f>
        <v>1</v>
      </c>
      <c r="R4" s="8">
        <f>'N TRIBUTARIO'!Q222</f>
        <v>0</v>
      </c>
      <c r="S4" s="8">
        <f>'N TRIBUTARIO'!R222</f>
        <v>0</v>
      </c>
      <c r="T4" s="8">
        <f>'N TRIBUTARIO'!S222</f>
        <v>0</v>
      </c>
      <c r="U4" s="8" t="str">
        <f>'N TRIBUTARIO'!T222</f>
        <v>-</v>
      </c>
      <c r="V4" s="8" t="str">
        <f>'N TRIBUTARIO'!U222</f>
        <v xml:space="preserve"> </v>
      </c>
      <c r="W4" s="8" t="str">
        <f>'N TRIBUTARIO'!V222</f>
        <v>CORINTO-1303-NORTE</v>
      </c>
      <c r="X4" s="8" t="str">
        <f>'N TRIBUTARIO'!W222</f>
        <v>1303-131079-001-0</v>
      </c>
      <c r="Y4" s="8" t="str">
        <f>'N TRIBUTARIO'!X222</f>
        <v>CORINTO NORTE</v>
      </c>
      <c r="Z4" s="8" t="str">
        <f>'N TRIBUTARIO'!Y222</f>
        <v>1303-131079-001-0 CORINTO NORTE</v>
      </c>
      <c r="AA4" s="8" t="str">
        <f>'N TRIBUTARIO'!Z222</f>
        <v>1303 CORINTO-NORTE</v>
      </c>
      <c r="AB4" s="8">
        <f>'N TRIBUTARIO'!AA222</f>
        <v>0</v>
      </c>
      <c r="AC4" s="8">
        <f>'N TRIBUTARIO'!AB222</f>
        <v>0</v>
      </c>
      <c r="AD4" s="8">
        <f>'N TRIBUTARIO'!AC222</f>
        <v>0</v>
      </c>
    </row>
    <row r="5" spans="1:30" ht="19" customHeight="1" x14ac:dyDescent="0.4">
      <c r="A5" s="8" t="str">
        <f>'N TRIBUTARIO'!A223</f>
        <v>S1</v>
      </c>
      <c r="B5" s="8" t="str">
        <f>'N TRIBUTARIO'!B223</f>
        <v>13</v>
      </c>
      <c r="C5" s="8" t="str">
        <f>'N TRIBUTARIO'!C223</f>
        <v>10</v>
      </c>
      <c r="D5" s="8" t="str">
        <f>'N TRIBUTARIO'!D223</f>
        <v>79</v>
      </c>
      <c r="E5" s="8" t="str">
        <f>'N TRIBUTARIO'!E223</f>
        <v>001</v>
      </c>
      <c r="F5" s="8">
        <f>'N TRIBUTARIO'!F223</f>
        <v>0</v>
      </c>
      <c r="G5" s="8">
        <f>'N TRIBUTARIO'!G223</f>
        <v>222</v>
      </c>
      <c r="H5" s="8" t="str">
        <f>'N TRIBUTARIO'!H223</f>
        <v>1304</v>
      </c>
      <c r="I5" s="8">
        <f>'N TRIBUTARIO'!I223</f>
        <v>0</v>
      </c>
      <c r="J5" s="8" t="s">
        <v>725</v>
      </c>
      <c r="K5" s="8" t="str">
        <f>'N TRIBUTARIO'!J223</f>
        <v>CHILANGA</v>
      </c>
      <c r="L5" s="8" t="str">
        <f>'N TRIBUTARIO'!K223</f>
        <v>SUR</v>
      </c>
      <c r="M5" s="8" t="str">
        <f>'N TRIBUTARIO'!L223</f>
        <v>MORAZAN</v>
      </c>
      <c r="N5" s="8">
        <f>'N TRIBUTARIO'!M223</f>
        <v>0</v>
      </c>
      <c r="O5" s="8">
        <f>'N TRIBUTARIO'!N223</f>
        <v>0</v>
      </c>
      <c r="P5" s="8">
        <f>'N TRIBUTARIO'!O223</f>
        <v>0</v>
      </c>
      <c r="Q5" s="8">
        <f>'N TRIBUTARIO'!P223</f>
        <v>0</v>
      </c>
      <c r="R5" s="8">
        <f>'N TRIBUTARIO'!Q223</f>
        <v>0</v>
      </c>
      <c r="S5" s="8">
        <f>'N TRIBUTARIO'!R223</f>
        <v>1</v>
      </c>
      <c r="T5" s="8">
        <f>'N TRIBUTARIO'!S223</f>
        <v>0</v>
      </c>
      <c r="U5" s="8" t="str">
        <f>'N TRIBUTARIO'!T223</f>
        <v>-</v>
      </c>
      <c r="V5" s="8" t="str">
        <f>'N TRIBUTARIO'!U223</f>
        <v xml:space="preserve"> </v>
      </c>
      <c r="W5" s="8" t="str">
        <f>'N TRIBUTARIO'!V223</f>
        <v>CHILANGA-1304-SUR</v>
      </c>
      <c r="X5" s="8" t="str">
        <f>'N TRIBUTARIO'!W223</f>
        <v>1304-131079-001-0</v>
      </c>
      <c r="Y5" s="8" t="str">
        <f>'N TRIBUTARIO'!X223</f>
        <v>CHILANGA SUR</v>
      </c>
      <c r="Z5" s="8" t="str">
        <f>'N TRIBUTARIO'!Y223</f>
        <v>1304-131079-001-0 CHILANGA SUR</v>
      </c>
      <c r="AA5" s="8" t="str">
        <f>'N TRIBUTARIO'!Z223</f>
        <v>1304 CHILANGA-SUR</v>
      </c>
      <c r="AB5" s="8">
        <f>'N TRIBUTARIO'!AA223</f>
        <v>712.3</v>
      </c>
      <c r="AC5" s="8">
        <f>'N TRIBUTARIO'!AB223</f>
        <v>123236</v>
      </c>
      <c r="AD5" s="8">
        <f>'N TRIBUTARIO'!AC223</f>
        <v>173.01</v>
      </c>
    </row>
    <row r="6" spans="1:30" ht="19" customHeight="1" x14ac:dyDescent="0.4">
      <c r="A6" s="8">
        <f>'N TRIBUTARIO'!A224</f>
        <v>0</v>
      </c>
      <c r="B6" s="8" t="str">
        <f>'N TRIBUTARIO'!B224</f>
        <v>13</v>
      </c>
      <c r="C6" s="8" t="str">
        <f>'N TRIBUTARIO'!C224</f>
        <v>10</v>
      </c>
      <c r="D6" s="8" t="str">
        <f>'N TRIBUTARIO'!D224</f>
        <v>79</v>
      </c>
      <c r="E6" s="8" t="str">
        <f>'N TRIBUTARIO'!E224</f>
        <v>001</v>
      </c>
      <c r="F6" s="8">
        <f>'N TRIBUTARIO'!F224</f>
        <v>0</v>
      </c>
      <c r="G6" s="8">
        <f>'N TRIBUTARIO'!G224</f>
        <v>223</v>
      </c>
      <c r="H6" s="8" t="str">
        <f>'N TRIBUTARIO'!H224</f>
        <v>1305</v>
      </c>
      <c r="I6" s="8">
        <f>'N TRIBUTARIO'!I224</f>
        <v>0</v>
      </c>
      <c r="J6" s="8" t="s">
        <v>725</v>
      </c>
      <c r="K6" s="8" t="str">
        <f>'N TRIBUTARIO'!J224</f>
        <v xml:space="preserve">DELICIAS DE CONCEPCION </v>
      </c>
      <c r="L6" s="8" t="str">
        <f>'N TRIBUTARIO'!K224</f>
        <v>SUR</v>
      </c>
      <c r="M6" s="8" t="str">
        <f>'N TRIBUTARIO'!L224</f>
        <v>MORAZAN</v>
      </c>
      <c r="N6" s="8">
        <f>'N TRIBUTARIO'!M224</f>
        <v>0</v>
      </c>
      <c r="O6" s="8">
        <f>'N TRIBUTARIO'!N224</f>
        <v>0</v>
      </c>
      <c r="P6" s="8">
        <f>'N TRIBUTARIO'!O224</f>
        <v>0</v>
      </c>
      <c r="Q6" s="8">
        <f>'N TRIBUTARIO'!P224</f>
        <v>0</v>
      </c>
      <c r="R6" s="8">
        <f>'N TRIBUTARIO'!Q224</f>
        <v>0</v>
      </c>
      <c r="S6" s="8">
        <f>'N TRIBUTARIO'!R224</f>
        <v>1</v>
      </c>
      <c r="T6" s="8">
        <f>'N TRIBUTARIO'!S224</f>
        <v>0</v>
      </c>
      <c r="U6" s="8" t="str">
        <f>'N TRIBUTARIO'!T224</f>
        <v>-</v>
      </c>
      <c r="V6" s="8" t="str">
        <f>'N TRIBUTARIO'!U224</f>
        <v xml:space="preserve"> </v>
      </c>
      <c r="W6" s="8" t="str">
        <f>'N TRIBUTARIO'!V224</f>
        <v>DELICIAS DE CONCEPCION -1305-SUR</v>
      </c>
      <c r="X6" s="8" t="str">
        <f>'N TRIBUTARIO'!W224</f>
        <v>1305-131079-001-0</v>
      </c>
      <c r="Y6" s="8" t="str">
        <f>'N TRIBUTARIO'!X224</f>
        <v>DELICIAS DE CONCEPCION  SUR</v>
      </c>
      <c r="Z6" s="8" t="str">
        <f>'N TRIBUTARIO'!Y224</f>
        <v>1305-131079-001-0 DELICIAS DE CONCEPCION  SUR</v>
      </c>
      <c r="AA6" s="8" t="str">
        <f>'N TRIBUTARIO'!Z224</f>
        <v>1305 DELICIAS DE CONCEPCION -SUR</v>
      </c>
      <c r="AB6" s="8">
        <f>'N TRIBUTARIO'!AA224</f>
        <v>0</v>
      </c>
      <c r="AC6" s="8">
        <f>'N TRIBUTARIO'!AB224</f>
        <v>0</v>
      </c>
      <c r="AD6" s="8">
        <f>'N TRIBUTARIO'!AC224</f>
        <v>0</v>
      </c>
    </row>
    <row r="7" spans="1:30" ht="19" customHeight="1" x14ac:dyDescent="0.4">
      <c r="A7" s="8">
        <f>'N TRIBUTARIO'!A225</f>
        <v>0</v>
      </c>
      <c r="B7" s="8" t="str">
        <f>'N TRIBUTARIO'!B225</f>
        <v>13</v>
      </c>
      <c r="C7" s="8" t="str">
        <f>'N TRIBUTARIO'!C225</f>
        <v>10</v>
      </c>
      <c r="D7" s="8" t="str">
        <f>'N TRIBUTARIO'!D225</f>
        <v>79</v>
      </c>
      <c r="E7" s="8" t="str">
        <f>'N TRIBUTARIO'!E225</f>
        <v>001</v>
      </c>
      <c r="F7" s="8">
        <f>'N TRIBUTARIO'!F225</f>
        <v>0</v>
      </c>
      <c r="G7" s="8">
        <f>'N TRIBUTARIO'!G225</f>
        <v>224</v>
      </c>
      <c r="H7" s="8" t="str">
        <f>'N TRIBUTARIO'!H225</f>
        <v>1306</v>
      </c>
      <c r="I7" s="8">
        <f>'N TRIBUTARIO'!I225</f>
        <v>0</v>
      </c>
      <c r="J7" s="8" t="s">
        <v>725</v>
      </c>
      <c r="K7" s="8" t="str">
        <f>'N TRIBUTARIO'!J225</f>
        <v>EL DIVISADERO</v>
      </c>
      <c r="L7" s="8" t="str">
        <f>'N TRIBUTARIO'!K225</f>
        <v>SUR</v>
      </c>
      <c r="M7" s="8" t="str">
        <f>'N TRIBUTARIO'!L225</f>
        <v>MORAZAN</v>
      </c>
      <c r="N7" s="8">
        <f>'N TRIBUTARIO'!M225</f>
        <v>0</v>
      </c>
      <c r="O7" s="8">
        <f>'N TRIBUTARIO'!N225</f>
        <v>0</v>
      </c>
      <c r="P7" s="8">
        <f>'N TRIBUTARIO'!O225</f>
        <v>0</v>
      </c>
      <c r="Q7" s="8">
        <f>'N TRIBUTARIO'!P225</f>
        <v>0</v>
      </c>
      <c r="R7" s="8">
        <f>'N TRIBUTARIO'!Q225</f>
        <v>0</v>
      </c>
      <c r="S7" s="8">
        <f>'N TRIBUTARIO'!R225</f>
        <v>1</v>
      </c>
      <c r="T7" s="8">
        <f>'N TRIBUTARIO'!S225</f>
        <v>0</v>
      </c>
      <c r="U7" s="8" t="str">
        <f>'N TRIBUTARIO'!T225</f>
        <v>-</v>
      </c>
      <c r="V7" s="8" t="str">
        <f>'N TRIBUTARIO'!U225</f>
        <v xml:space="preserve"> </v>
      </c>
      <c r="W7" s="8" t="str">
        <f>'N TRIBUTARIO'!V225</f>
        <v>EL DIVISADERO-1306-SUR</v>
      </c>
      <c r="X7" s="8" t="str">
        <f>'N TRIBUTARIO'!W225</f>
        <v>1306-131079-001-0</v>
      </c>
      <c r="Y7" s="8" t="str">
        <f>'N TRIBUTARIO'!X225</f>
        <v>EL DIVISADERO SUR</v>
      </c>
      <c r="Z7" s="8" t="str">
        <f>'N TRIBUTARIO'!Y225</f>
        <v>1306-131079-001-0 EL DIVISADERO SUR</v>
      </c>
      <c r="AA7" s="8" t="str">
        <f>'N TRIBUTARIO'!Z225</f>
        <v>1306 EL DIVISADERO-SUR</v>
      </c>
      <c r="AB7" s="8">
        <f>'N TRIBUTARIO'!AA225</f>
        <v>0</v>
      </c>
      <c r="AC7" s="8">
        <f>'N TRIBUTARIO'!AB225</f>
        <v>0</v>
      </c>
      <c r="AD7" s="8">
        <f>'N TRIBUTARIO'!AC225</f>
        <v>0</v>
      </c>
    </row>
    <row r="8" spans="1:30" ht="19" customHeight="1" x14ac:dyDescent="0.4">
      <c r="A8" s="8">
        <f>'N TRIBUTARIO'!A226</f>
        <v>0</v>
      </c>
      <c r="B8" s="8" t="str">
        <f>'N TRIBUTARIO'!B226</f>
        <v>13</v>
      </c>
      <c r="C8" s="8" t="str">
        <f>'N TRIBUTARIO'!C226</f>
        <v>10</v>
      </c>
      <c r="D8" s="8" t="str">
        <f>'N TRIBUTARIO'!D226</f>
        <v>79</v>
      </c>
      <c r="E8" s="8" t="str">
        <f>'N TRIBUTARIO'!E226</f>
        <v>001</v>
      </c>
      <c r="F8" s="8">
        <f>'N TRIBUTARIO'!F226</f>
        <v>0</v>
      </c>
      <c r="G8" s="8">
        <f>'N TRIBUTARIO'!G226</f>
        <v>225</v>
      </c>
      <c r="H8" s="8" t="str">
        <f>'N TRIBUTARIO'!H226</f>
        <v>1307</v>
      </c>
      <c r="I8" s="8">
        <f>'N TRIBUTARIO'!I226</f>
        <v>0</v>
      </c>
      <c r="J8" s="8" t="s">
        <v>725</v>
      </c>
      <c r="K8" s="8" t="str">
        <f>'N TRIBUTARIO'!J226</f>
        <v>EL ROSARIO, MORAZAN</v>
      </c>
      <c r="L8" s="8" t="str">
        <f>'N TRIBUTARIO'!K226</f>
        <v>NORTE</v>
      </c>
      <c r="M8" s="8" t="str">
        <f>'N TRIBUTARIO'!L226</f>
        <v>MORAZAN</v>
      </c>
      <c r="N8" s="8">
        <f>'N TRIBUTARIO'!M226</f>
        <v>0</v>
      </c>
      <c r="O8" s="8">
        <f>'N TRIBUTARIO'!N226</f>
        <v>0</v>
      </c>
      <c r="P8" s="8">
        <f>'N TRIBUTARIO'!O226</f>
        <v>0</v>
      </c>
      <c r="Q8" s="8">
        <f>'N TRIBUTARIO'!P226</f>
        <v>1</v>
      </c>
      <c r="R8" s="8">
        <f>'N TRIBUTARIO'!Q226</f>
        <v>0</v>
      </c>
      <c r="S8" s="8">
        <f>'N TRIBUTARIO'!R226</f>
        <v>0</v>
      </c>
      <c r="T8" s="8">
        <f>'N TRIBUTARIO'!S226</f>
        <v>0</v>
      </c>
      <c r="U8" s="8" t="str">
        <f>'N TRIBUTARIO'!T226</f>
        <v>-</v>
      </c>
      <c r="V8" s="8" t="str">
        <f>'N TRIBUTARIO'!U226</f>
        <v xml:space="preserve"> </v>
      </c>
      <c r="W8" s="8" t="str">
        <f>'N TRIBUTARIO'!V226</f>
        <v>EL ROSARIO, MORAZAN-1307-NORTE</v>
      </c>
      <c r="X8" s="8" t="str">
        <f>'N TRIBUTARIO'!W226</f>
        <v>1307-131079-001-0</v>
      </c>
      <c r="Y8" s="8" t="str">
        <f>'N TRIBUTARIO'!X226</f>
        <v>EL ROSARIO, MORAZAN NORTE</v>
      </c>
      <c r="Z8" s="8" t="str">
        <f>'N TRIBUTARIO'!Y226</f>
        <v>1307-131079-001-0 EL ROSARIO, MORAZAN NORTE</v>
      </c>
      <c r="AA8" s="8" t="str">
        <f>'N TRIBUTARIO'!Z226</f>
        <v>1307 EL ROSARIO, MORAZAN-NORTE</v>
      </c>
      <c r="AB8" s="8">
        <f>'N TRIBUTARIO'!AA226</f>
        <v>0</v>
      </c>
      <c r="AC8" s="8">
        <f>'N TRIBUTARIO'!AB226</f>
        <v>0</v>
      </c>
      <c r="AD8" s="8">
        <f>'N TRIBUTARIO'!AC226</f>
        <v>0</v>
      </c>
    </row>
    <row r="9" spans="1:30" ht="19" customHeight="1" x14ac:dyDescent="0.4">
      <c r="A9" s="8">
        <f>'N TRIBUTARIO'!A227</f>
        <v>0</v>
      </c>
      <c r="B9" s="8" t="str">
        <f>'N TRIBUTARIO'!B227</f>
        <v>13</v>
      </c>
      <c r="C9" s="8" t="str">
        <f>'N TRIBUTARIO'!C227</f>
        <v>10</v>
      </c>
      <c r="D9" s="8" t="str">
        <f>'N TRIBUTARIO'!D227</f>
        <v>79</v>
      </c>
      <c r="E9" s="8" t="str">
        <f>'N TRIBUTARIO'!E227</f>
        <v>001</v>
      </c>
      <c r="F9" s="8">
        <f>'N TRIBUTARIO'!F227</f>
        <v>0</v>
      </c>
      <c r="G9" s="8">
        <f>'N TRIBUTARIO'!G227</f>
        <v>226</v>
      </c>
      <c r="H9" s="8" t="str">
        <f>'N TRIBUTARIO'!H227</f>
        <v>1308</v>
      </c>
      <c r="I9" s="8">
        <f>'N TRIBUTARIO'!I227</f>
        <v>0</v>
      </c>
      <c r="J9" s="8" t="s">
        <v>725</v>
      </c>
      <c r="K9" s="8" t="str">
        <f>'N TRIBUTARIO'!J227</f>
        <v>GUALOCOCTI</v>
      </c>
      <c r="L9" s="8" t="str">
        <f>'N TRIBUTARIO'!K227</f>
        <v>SUR</v>
      </c>
      <c r="M9" s="8" t="str">
        <f>'N TRIBUTARIO'!L227</f>
        <v>MORAZAN</v>
      </c>
      <c r="N9" s="8">
        <f>'N TRIBUTARIO'!M227</f>
        <v>0</v>
      </c>
      <c r="O9" s="8">
        <f>'N TRIBUTARIO'!N227</f>
        <v>0</v>
      </c>
      <c r="P9" s="8">
        <f>'N TRIBUTARIO'!O227</f>
        <v>0</v>
      </c>
      <c r="Q9" s="8">
        <f>'N TRIBUTARIO'!P227</f>
        <v>0</v>
      </c>
      <c r="R9" s="8">
        <f>'N TRIBUTARIO'!Q227</f>
        <v>0</v>
      </c>
      <c r="S9" s="8">
        <f>'N TRIBUTARIO'!R227</f>
        <v>1</v>
      </c>
      <c r="T9" s="8">
        <f>'N TRIBUTARIO'!S227</f>
        <v>0</v>
      </c>
      <c r="U9" s="8" t="str">
        <f>'N TRIBUTARIO'!T227</f>
        <v>-</v>
      </c>
      <c r="V9" s="8" t="str">
        <f>'N TRIBUTARIO'!U227</f>
        <v xml:space="preserve"> </v>
      </c>
      <c r="W9" s="8" t="str">
        <f>'N TRIBUTARIO'!V227</f>
        <v>GUALOCOCTI-1308-SUR</v>
      </c>
      <c r="X9" s="8" t="str">
        <f>'N TRIBUTARIO'!W227</f>
        <v>1308-131079-001-0</v>
      </c>
      <c r="Y9" s="8" t="str">
        <f>'N TRIBUTARIO'!X227</f>
        <v>GUALOCOCTI SUR</v>
      </c>
      <c r="Z9" s="8" t="str">
        <f>'N TRIBUTARIO'!Y227</f>
        <v>1308-131079-001-0 GUALOCOCTI SUR</v>
      </c>
      <c r="AA9" s="8" t="str">
        <f>'N TRIBUTARIO'!Z227</f>
        <v>1308 GUALOCOCTI-SUR</v>
      </c>
      <c r="AB9" s="8">
        <f>'N TRIBUTARIO'!AA227</f>
        <v>0</v>
      </c>
      <c r="AC9" s="8">
        <f>'N TRIBUTARIO'!AB227</f>
        <v>0</v>
      </c>
      <c r="AD9" s="8">
        <f>'N TRIBUTARIO'!AC227</f>
        <v>0</v>
      </c>
    </row>
    <row r="10" spans="1:30" ht="19" customHeight="1" x14ac:dyDescent="0.4">
      <c r="A10" s="8">
        <f>'N TRIBUTARIO'!A228</f>
        <v>0</v>
      </c>
      <c r="B10" s="8" t="str">
        <f>'N TRIBUTARIO'!B228</f>
        <v>13</v>
      </c>
      <c r="C10" s="8" t="str">
        <f>'N TRIBUTARIO'!C228</f>
        <v>10</v>
      </c>
      <c r="D10" s="8" t="str">
        <f>'N TRIBUTARIO'!D228</f>
        <v>79</v>
      </c>
      <c r="E10" s="8" t="str">
        <f>'N TRIBUTARIO'!E228</f>
        <v>001</v>
      </c>
      <c r="F10" s="8">
        <f>'N TRIBUTARIO'!F228</f>
        <v>0</v>
      </c>
      <c r="G10" s="8">
        <f>'N TRIBUTARIO'!G228</f>
        <v>227</v>
      </c>
      <c r="H10" s="8" t="str">
        <f>'N TRIBUTARIO'!H228</f>
        <v>1309</v>
      </c>
      <c r="I10" s="8">
        <f>'N TRIBUTARIO'!I228</f>
        <v>0</v>
      </c>
      <c r="J10" s="8" t="s">
        <v>725</v>
      </c>
      <c r="K10" s="8" t="str">
        <f>'N TRIBUTARIO'!J228</f>
        <v>GUATAJIAGUA</v>
      </c>
      <c r="L10" s="8" t="str">
        <f>'N TRIBUTARIO'!K228</f>
        <v>SUR</v>
      </c>
      <c r="M10" s="8" t="str">
        <f>'N TRIBUTARIO'!L228</f>
        <v>MORAZAN</v>
      </c>
      <c r="N10" s="8">
        <f>'N TRIBUTARIO'!M228</f>
        <v>0</v>
      </c>
      <c r="O10" s="8">
        <f>'N TRIBUTARIO'!N228</f>
        <v>0</v>
      </c>
      <c r="P10" s="8">
        <f>'N TRIBUTARIO'!O228</f>
        <v>0</v>
      </c>
      <c r="Q10" s="8">
        <f>'N TRIBUTARIO'!P228</f>
        <v>0</v>
      </c>
      <c r="R10" s="8">
        <f>'N TRIBUTARIO'!Q228</f>
        <v>0</v>
      </c>
      <c r="S10" s="8">
        <f>'N TRIBUTARIO'!R228</f>
        <v>1</v>
      </c>
      <c r="T10" s="8">
        <f>'N TRIBUTARIO'!S228</f>
        <v>0</v>
      </c>
      <c r="U10" s="8" t="str">
        <f>'N TRIBUTARIO'!T228</f>
        <v>-</v>
      </c>
      <c r="V10" s="8" t="str">
        <f>'N TRIBUTARIO'!U228</f>
        <v xml:space="preserve"> </v>
      </c>
      <c r="W10" s="8" t="str">
        <f>'N TRIBUTARIO'!V228</f>
        <v>GUATAJIAGUA-1309-SUR</v>
      </c>
      <c r="X10" s="8" t="str">
        <f>'N TRIBUTARIO'!W228</f>
        <v>1309-131079-001-0</v>
      </c>
      <c r="Y10" s="8" t="str">
        <f>'N TRIBUTARIO'!X228</f>
        <v>GUATAJIAGUA SUR</v>
      </c>
      <c r="Z10" s="8" t="str">
        <f>'N TRIBUTARIO'!Y228</f>
        <v>1309-131079-001-0 GUATAJIAGUA SUR</v>
      </c>
      <c r="AA10" s="8" t="str">
        <f>'N TRIBUTARIO'!Z228</f>
        <v>1309 GUATAJIAGUA-SUR</v>
      </c>
      <c r="AB10" s="8">
        <f>'N TRIBUTARIO'!AA228</f>
        <v>0</v>
      </c>
      <c r="AC10" s="8">
        <f>'N TRIBUTARIO'!AB228</f>
        <v>0</v>
      </c>
      <c r="AD10" s="8">
        <f>'N TRIBUTARIO'!AC228</f>
        <v>0</v>
      </c>
    </row>
    <row r="11" spans="1:30" ht="19" customHeight="1" x14ac:dyDescent="0.4">
      <c r="A11" s="8">
        <f>'N TRIBUTARIO'!A229</f>
        <v>0</v>
      </c>
      <c r="B11" s="8" t="str">
        <f>'N TRIBUTARIO'!B229</f>
        <v>13</v>
      </c>
      <c r="C11" s="8" t="str">
        <f>'N TRIBUTARIO'!C229</f>
        <v>10</v>
      </c>
      <c r="D11" s="8" t="str">
        <f>'N TRIBUTARIO'!D229</f>
        <v>79</v>
      </c>
      <c r="E11" s="8" t="str">
        <f>'N TRIBUTARIO'!E229</f>
        <v>001</v>
      </c>
      <c r="F11" s="8">
        <f>'N TRIBUTARIO'!F229</f>
        <v>1</v>
      </c>
      <c r="G11" s="8">
        <f>'N TRIBUTARIO'!G229</f>
        <v>228</v>
      </c>
      <c r="H11" s="8" t="str">
        <f>'N TRIBUTARIO'!H229</f>
        <v>1310</v>
      </c>
      <c r="I11" s="8">
        <f>'N TRIBUTARIO'!I229</f>
        <v>0</v>
      </c>
      <c r="J11" s="8" t="s">
        <v>725</v>
      </c>
      <c r="K11" s="8" t="str">
        <f>'N TRIBUTARIO'!J229</f>
        <v>JOATECA</v>
      </c>
      <c r="L11" s="8" t="str">
        <f>'N TRIBUTARIO'!K229</f>
        <v>NORTE</v>
      </c>
      <c r="M11" s="8" t="str">
        <f>'N TRIBUTARIO'!L229</f>
        <v>MORAZAN</v>
      </c>
      <c r="N11" s="8">
        <f>'N TRIBUTARIO'!M229</f>
        <v>0</v>
      </c>
      <c r="O11" s="8">
        <f>'N TRIBUTARIO'!N229</f>
        <v>0</v>
      </c>
      <c r="P11" s="8">
        <f>'N TRIBUTARIO'!O229</f>
        <v>0</v>
      </c>
      <c r="Q11" s="8">
        <f>'N TRIBUTARIO'!P229</f>
        <v>1</v>
      </c>
      <c r="R11" s="8">
        <f>'N TRIBUTARIO'!Q229</f>
        <v>0</v>
      </c>
      <c r="S11" s="8">
        <f>'N TRIBUTARIO'!R229</f>
        <v>0</v>
      </c>
      <c r="T11" s="8">
        <f>'N TRIBUTARIO'!S229</f>
        <v>0</v>
      </c>
      <c r="U11" s="8" t="str">
        <f>'N TRIBUTARIO'!T229</f>
        <v>-</v>
      </c>
      <c r="V11" s="8" t="str">
        <f>'N TRIBUTARIO'!U229</f>
        <v xml:space="preserve"> </v>
      </c>
      <c r="W11" s="8" t="str">
        <f>'N TRIBUTARIO'!V229</f>
        <v>JOATECA-1310-NORTE</v>
      </c>
      <c r="X11" s="8" t="str">
        <f>'N TRIBUTARIO'!W229</f>
        <v>1310-131079-001-1</v>
      </c>
      <c r="Y11" s="8" t="str">
        <f>'N TRIBUTARIO'!X229</f>
        <v>JOATECA NORTE</v>
      </c>
      <c r="Z11" s="8" t="str">
        <f>'N TRIBUTARIO'!Y229</f>
        <v>1310-131079-001-1 JOATECA NORTE</v>
      </c>
      <c r="AA11" s="8" t="str">
        <f>'N TRIBUTARIO'!Z229</f>
        <v>1310 JOATECA-NORTE</v>
      </c>
      <c r="AB11" s="8">
        <f>'N TRIBUTARIO'!AA229</f>
        <v>0</v>
      </c>
      <c r="AC11" s="8">
        <f>'N TRIBUTARIO'!AB229</f>
        <v>0</v>
      </c>
      <c r="AD11" s="8">
        <f>'N TRIBUTARIO'!AC229</f>
        <v>0</v>
      </c>
    </row>
    <row r="12" spans="1:30" ht="19" customHeight="1" x14ac:dyDescent="0.4">
      <c r="A12" s="8">
        <f>'N TRIBUTARIO'!A230</f>
        <v>0</v>
      </c>
      <c r="B12" s="8" t="str">
        <f>'N TRIBUTARIO'!B230</f>
        <v>15</v>
      </c>
      <c r="C12" s="8" t="str">
        <f>'N TRIBUTARIO'!C230</f>
        <v>08</v>
      </c>
      <c r="D12" s="8" t="str">
        <f>'N TRIBUTARIO'!D230</f>
        <v>55</v>
      </c>
      <c r="E12" s="8" t="str">
        <f>'N TRIBUTARIO'!E230</f>
        <v>001</v>
      </c>
      <c r="F12" s="8">
        <f>'N TRIBUTARIO'!F230</f>
        <v>6</v>
      </c>
      <c r="G12" s="8">
        <f>'N TRIBUTARIO'!G230</f>
        <v>229</v>
      </c>
      <c r="H12" s="8" t="str">
        <f>'N TRIBUTARIO'!H230</f>
        <v>1311</v>
      </c>
      <c r="I12" s="8">
        <f>'N TRIBUTARIO'!I230</f>
        <v>0</v>
      </c>
      <c r="J12" s="8" t="s">
        <v>725</v>
      </c>
      <c r="K12" s="8" t="str">
        <f>'N TRIBUTARIO'!J230</f>
        <v>JOCOAITIQUE</v>
      </c>
      <c r="L12" s="8" t="str">
        <f>'N TRIBUTARIO'!K230</f>
        <v>NORTE</v>
      </c>
      <c r="M12" s="8" t="str">
        <f>'N TRIBUTARIO'!L230</f>
        <v>MORAZAN</v>
      </c>
      <c r="N12" s="8">
        <f>'N TRIBUTARIO'!M230</f>
        <v>0</v>
      </c>
      <c r="O12" s="8">
        <f>'N TRIBUTARIO'!N230</f>
        <v>0</v>
      </c>
      <c r="P12" s="8">
        <f>'N TRIBUTARIO'!O230</f>
        <v>0</v>
      </c>
      <c r="Q12" s="8">
        <f>'N TRIBUTARIO'!P230</f>
        <v>1</v>
      </c>
      <c r="R12" s="8">
        <f>'N TRIBUTARIO'!Q230</f>
        <v>0</v>
      </c>
      <c r="S12" s="8">
        <f>'N TRIBUTARIO'!R230</f>
        <v>0</v>
      </c>
      <c r="T12" s="8">
        <f>'N TRIBUTARIO'!S230</f>
        <v>0</v>
      </c>
      <c r="U12" s="8" t="str">
        <f>'N TRIBUTARIO'!T230</f>
        <v>-</v>
      </c>
      <c r="V12" s="8" t="str">
        <f>'N TRIBUTARIO'!U230</f>
        <v xml:space="preserve"> </v>
      </c>
      <c r="W12" s="8" t="str">
        <f>'N TRIBUTARIO'!V230</f>
        <v>JOCOAITIQUE-1311-NORTE</v>
      </c>
      <c r="X12" s="8" t="str">
        <f>'N TRIBUTARIO'!W230</f>
        <v>1311-150855-001-6</v>
      </c>
      <c r="Y12" s="8" t="str">
        <f>'N TRIBUTARIO'!X230</f>
        <v>JOCOAITIQUE NORTE</v>
      </c>
      <c r="Z12" s="8" t="str">
        <f>'N TRIBUTARIO'!Y230</f>
        <v>1311-150855-001-6 JOCOAITIQUE NORTE</v>
      </c>
      <c r="AA12" s="8" t="str">
        <f>'N TRIBUTARIO'!Z230</f>
        <v>1311 JOCOAITIQUE-NORTE</v>
      </c>
      <c r="AB12" s="8">
        <f>'N TRIBUTARIO'!AA230</f>
        <v>0</v>
      </c>
      <c r="AC12" s="8">
        <f>'N TRIBUTARIO'!AB230</f>
        <v>0</v>
      </c>
      <c r="AD12" s="8">
        <f>'N TRIBUTARIO'!AC230</f>
        <v>0</v>
      </c>
    </row>
    <row r="13" spans="1:30" ht="19" customHeight="1" x14ac:dyDescent="0.4">
      <c r="A13" s="8">
        <f>'N TRIBUTARIO'!A231</f>
        <v>0</v>
      </c>
      <c r="B13" s="8" t="str">
        <f>'N TRIBUTARIO'!B231</f>
        <v>13</v>
      </c>
      <c r="C13" s="8" t="str">
        <f>'N TRIBUTARIO'!C231</f>
        <v>10</v>
      </c>
      <c r="D13" s="8" t="str">
        <f>'N TRIBUTARIO'!D231</f>
        <v>79</v>
      </c>
      <c r="E13" s="8" t="str">
        <f>'N TRIBUTARIO'!E231</f>
        <v>001</v>
      </c>
      <c r="F13" s="8">
        <f>'N TRIBUTARIO'!F231</f>
        <v>1</v>
      </c>
      <c r="G13" s="8">
        <f>'N TRIBUTARIO'!G231</f>
        <v>230</v>
      </c>
      <c r="H13" s="8" t="str">
        <f>'N TRIBUTARIO'!H231</f>
        <v>1312</v>
      </c>
      <c r="I13" s="8">
        <f>'N TRIBUTARIO'!I231</f>
        <v>0</v>
      </c>
      <c r="J13" s="8" t="s">
        <v>725</v>
      </c>
      <c r="K13" s="8" t="str">
        <f>'N TRIBUTARIO'!J231</f>
        <v>JOCORO</v>
      </c>
      <c r="L13" s="8" t="str">
        <f>'N TRIBUTARIO'!K231</f>
        <v>SUR</v>
      </c>
      <c r="M13" s="8" t="str">
        <f>'N TRIBUTARIO'!L231</f>
        <v>MORAZAN</v>
      </c>
      <c r="N13" s="8">
        <f>'N TRIBUTARIO'!M231</f>
        <v>0</v>
      </c>
      <c r="O13" s="8">
        <f>'N TRIBUTARIO'!N231</f>
        <v>0</v>
      </c>
      <c r="P13" s="8">
        <f>'N TRIBUTARIO'!O231</f>
        <v>0</v>
      </c>
      <c r="Q13" s="8">
        <f>'N TRIBUTARIO'!P231</f>
        <v>0</v>
      </c>
      <c r="R13" s="8">
        <f>'N TRIBUTARIO'!Q231</f>
        <v>0</v>
      </c>
      <c r="S13" s="8">
        <f>'N TRIBUTARIO'!R231</f>
        <v>1</v>
      </c>
      <c r="T13" s="8">
        <f>'N TRIBUTARIO'!S231</f>
        <v>0</v>
      </c>
      <c r="U13" s="8" t="str">
        <f>'N TRIBUTARIO'!T231</f>
        <v>-</v>
      </c>
      <c r="V13" s="8" t="str">
        <f>'N TRIBUTARIO'!U231</f>
        <v xml:space="preserve"> </v>
      </c>
      <c r="W13" s="8" t="str">
        <f>'N TRIBUTARIO'!V231</f>
        <v>JOCORO-1312-SUR</v>
      </c>
      <c r="X13" s="8" t="str">
        <f>'N TRIBUTARIO'!W231</f>
        <v>1312-131079-001-1</v>
      </c>
      <c r="Y13" s="8" t="str">
        <f>'N TRIBUTARIO'!X231</f>
        <v>JOCORO SUR</v>
      </c>
      <c r="Z13" s="8" t="str">
        <f>'N TRIBUTARIO'!Y231</f>
        <v>1312-131079-001-1 JOCORO SUR</v>
      </c>
      <c r="AA13" s="8" t="str">
        <f>'N TRIBUTARIO'!Z231</f>
        <v>1312 JOCORO-SUR</v>
      </c>
      <c r="AB13" s="8">
        <f>'N TRIBUTARIO'!AA231</f>
        <v>0</v>
      </c>
      <c r="AC13" s="8">
        <f>'N TRIBUTARIO'!AB231</f>
        <v>0</v>
      </c>
      <c r="AD13" s="8">
        <f>'N TRIBUTARIO'!AC231</f>
        <v>0</v>
      </c>
    </row>
    <row r="14" spans="1:30" ht="19" customHeight="1" x14ac:dyDescent="0.4">
      <c r="A14" s="8">
        <f>'N TRIBUTARIO'!A232</f>
        <v>0</v>
      </c>
      <c r="B14" s="8" t="str">
        <f>'N TRIBUTARIO'!B232</f>
        <v>13</v>
      </c>
      <c r="C14" s="8" t="str">
        <f>'N TRIBUTARIO'!C232</f>
        <v>10</v>
      </c>
      <c r="D14" s="8" t="str">
        <f>'N TRIBUTARIO'!D232</f>
        <v>79</v>
      </c>
      <c r="E14" s="8" t="str">
        <f>'N TRIBUTARIO'!E232</f>
        <v>001</v>
      </c>
      <c r="F14" s="8">
        <f>'N TRIBUTARIO'!F232</f>
        <v>1</v>
      </c>
      <c r="G14" s="8">
        <f>'N TRIBUTARIO'!G232</f>
        <v>231</v>
      </c>
      <c r="H14" s="8" t="str">
        <f>'N TRIBUTARIO'!H232</f>
        <v>1313</v>
      </c>
      <c r="I14" s="8">
        <f>'N TRIBUTARIO'!I232</f>
        <v>0</v>
      </c>
      <c r="J14" s="8" t="s">
        <v>725</v>
      </c>
      <c r="K14" s="8" t="str">
        <f>'N TRIBUTARIO'!J232</f>
        <v>LOLOTIQUILLO</v>
      </c>
      <c r="L14" s="8" t="str">
        <f>'N TRIBUTARIO'!K232</f>
        <v>SUR</v>
      </c>
      <c r="M14" s="8" t="str">
        <f>'N TRIBUTARIO'!L232</f>
        <v>MORAZAN</v>
      </c>
      <c r="N14" s="8">
        <f>'N TRIBUTARIO'!M232</f>
        <v>0</v>
      </c>
      <c r="O14" s="8">
        <f>'N TRIBUTARIO'!N232</f>
        <v>0</v>
      </c>
      <c r="P14" s="8">
        <f>'N TRIBUTARIO'!O232</f>
        <v>0</v>
      </c>
      <c r="Q14" s="8">
        <f>'N TRIBUTARIO'!P232</f>
        <v>0</v>
      </c>
      <c r="R14" s="8">
        <f>'N TRIBUTARIO'!Q232</f>
        <v>0</v>
      </c>
      <c r="S14" s="8">
        <f>'N TRIBUTARIO'!R232</f>
        <v>1</v>
      </c>
      <c r="T14" s="8">
        <f>'N TRIBUTARIO'!S232</f>
        <v>0</v>
      </c>
      <c r="U14" s="8" t="str">
        <f>'N TRIBUTARIO'!T232</f>
        <v>-</v>
      </c>
      <c r="V14" s="8" t="str">
        <f>'N TRIBUTARIO'!U232</f>
        <v xml:space="preserve"> </v>
      </c>
      <c r="W14" s="8" t="str">
        <f>'N TRIBUTARIO'!V232</f>
        <v>LOLOTIQUILLO-1313-SUR</v>
      </c>
      <c r="X14" s="8" t="str">
        <f>'N TRIBUTARIO'!W232</f>
        <v>1313-131079-001-1</v>
      </c>
      <c r="Y14" s="8" t="str">
        <f>'N TRIBUTARIO'!X232</f>
        <v>LOLOTIQUILLO SUR</v>
      </c>
      <c r="Z14" s="8" t="str">
        <f>'N TRIBUTARIO'!Y232</f>
        <v>1313-131079-001-1 LOLOTIQUILLO SUR</v>
      </c>
      <c r="AA14" s="8" t="str">
        <f>'N TRIBUTARIO'!Z232</f>
        <v>1313 LOLOTIQUILLO-SUR</v>
      </c>
      <c r="AB14" s="8">
        <f>'N TRIBUTARIO'!AA232</f>
        <v>0</v>
      </c>
      <c r="AC14" s="8">
        <f>'N TRIBUTARIO'!AB232</f>
        <v>0</v>
      </c>
      <c r="AD14" s="8">
        <f>'N TRIBUTARIO'!AC232</f>
        <v>0</v>
      </c>
    </row>
    <row r="15" spans="1:30" ht="19" customHeight="1" x14ac:dyDescent="0.4">
      <c r="A15" s="8">
        <f>'N TRIBUTARIO'!A233</f>
        <v>0</v>
      </c>
      <c r="B15" s="8" t="str">
        <f>'N TRIBUTARIO'!B233</f>
        <v>13</v>
      </c>
      <c r="C15" s="8" t="str">
        <f>'N TRIBUTARIO'!C233</f>
        <v>10</v>
      </c>
      <c r="D15" s="8" t="str">
        <f>'N TRIBUTARIO'!D233</f>
        <v>79</v>
      </c>
      <c r="E15" s="8" t="str">
        <f>'N TRIBUTARIO'!E233</f>
        <v>001</v>
      </c>
      <c r="F15" s="8">
        <f>'N TRIBUTARIO'!F233</f>
        <v>1</v>
      </c>
      <c r="G15" s="8">
        <f>'N TRIBUTARIO'!G233</f>
        <v>232</v>
      </c>
      <c r="H15" s="8" t="str">
        <f>'N TRIBUTARIO'!H233</f>
        <v>1314</v>
      </c>
      <c r="I15" s="8">
        <f>'N TRIBUTARIO'!I233</f>
        <v>0</v>
      </c>
      <c r="J15" s="8" t="s">
        <v>725</v>
      </c>
      <c r="K15" s="8" t="str">
        <f>'N TRIBUTARIO'!J233</f>
        <v>MEANGUERA</v>
      </c>
      <c r="L15" s="8" t="str">
        <f>'N TRIBUTARIO'!K233</f>
        <v>NORTE</v>
      </c>
      <c r="M15" s="8" t="str">
        <f>'N TRIBUTARIO'!L233</f>
        <v>MORAZAN</v>
      </c>
      <c r="N15" s="8">
        <f>'N TRIBUTARIO'!M233</f>
        <v>0</v>
      </c>
      <c r="O15" s="8">
        <f>'N TRIBUTARIO'!N233</f>
        <v>0</v>
      </c>
      <c r="P15" s="8">
        <f>'N TRIBUTARIO'!O233</f>
        <v>0</v>
      </c>
      <c r="Q15" s="8">
        <f>'N TRIBUTARIO'!P233</f>
        <v>1</v>
      </c>
      <c r="R15" s="8">
        <f>'N TRIBUTARIO'!Q233</f>
        <v>0</v>
      </c>
      <c r="S15" s="8">
        <f>'N TRIBUTARIO'!R233</f>
        <v>0</v>
      </c>
      <c r="T15" s="8">
        <f>'N TRIBUTARIO'!S233</f>
        <v>0</v>
      </c>
      <c r="U15" s="8" t="str">
        <f>'N TRIBUTARIO'!T233</f>
        <v>-</v>
      </c>
      <c r="V15" s="8" t="str">
        <f>'N TRIBUTARIO'!U233</f>
        <v xml:space="preserve"> </v>
      </c>
      <c r="W15" s="8" t="str">
        <f>'N TRIBUTARIO'!V233</f>
        <v>MEANGUERA-1314-NORTE</v>
      </c>
      <c r="X15" s="8" t="str">
        <f>'N TRIBUTARIO'!W233</f>
        <v>1314-131079-001-1</v>
      </c>
      <c r="Y15" s="8" t="str">
        <f>'N TRIBUTARIO'!X233</f>
        <v>MEANGUERA NORTE</v>
      </c>
      <c r="Z15" s="8" t="str">
        <f>'N TRIBUTARIO'!Y233</f>
        <v>1314-131079-001-1 MEANGUERA NORTE</v>
      </c>
      <c r="AA15" s="8" t="str">
        <f>'N TRIBUTARIO'!Z233</f>
        <v>1314 MEANGUERA-NORTE</v>
      </c>
      <c r="AB15" s="8">
        <f>'N TRIBUTARIO'!AA233</f>
        <v>0</v>
      </c>
      <c r="AC15" s="8">
        <f>'N TRIBUTARIO'!AB233</f>
        <v>0</v>
      </c>
      <c r="AD15" s="8">
        <f>'N TRIBUTARIO'!AC233</f>
        <v>0</v>
      </c>
    </row>
    <row r="16" spans="1:30" ht="19" customHeight="1" x14ac:dyDescent="0.4">
      <c r="A16" s="8">
        <f>'N TRIBUTARIO'!A234</f>
        <v>0</v>
      </c>
      <c r="B16" s="8" t="str">
        <f>'N TRIBUTARIO'!B234</f>
        <v>13</v>
      </c>
      <c r="C16" s="8" t="str">
        <f>'N TRIBUTARIO'!C234</f>
        <v>10</v>
      </c>
      <c r="D16" s="8" t="str">
        <f>'N TRIBUTARIO'!D234</f>
        <v>79</v>
      </c>
      <c r="E16" s="8" t="str">
        <f>'N TRIBUTARIO'!E234</f>
        <v>001</v>
      </c>
      <c r="F16" s="8">
        <f>'N TRIBUTARIO'!F234</f>
        <v>1</v>
      </c>
      <c r="G16" s="8">
        <f>'N TRIBUTARIO'!G234</f>
        <v>233</v>
      </c>
      <c r="H16" s="8" t="str">
        <f>'N TRIBUTARIO'!H234</f>
        <v>1315</v>
      </c>
      <c r="I16" s="8">
        <f>'N TRIBUTARIO'!I234</f>
        <v>0</v>
      </c>
      <c r="J16" s="8" t="s">
        <v>725</v>
      </c>
      <c r="K16" s="8" t="str">
        <f>'N TRIBUTARIO'!J234</f>
        <v>OSICALA</v>
      </c>
      <c r="L16" s="8" t="str">
        <f>'N TRIBUTARIO'!K234</f>
        <v>SUR</v>
      </c>
      <c r="M16" s="8" t="str">
        <f>'N TRIBUTARIO'!L234</f>
        <v>MORAZAN</v>
      </c>
      <c r="N16" s="8">
        <f>'N TRIBUTARIO'!M234</f>
        <v>0</v>
      </c>
      <c r="O16" s="8">
        <f>'N TRIBUTARIO'!N234</f>
        <v>0</v>
      </c>
      <c r="P16" s="8">
        <f>'N TRIBUTARIO'!O234</f>
        <v>0</v>
      </c>
      <c r="Q16" s="8">
        <f>'N TRIBUTARIO'!P234</f>
        <v>0</v>
      </c>
      <c r="R16" s="8">
        <f>'N TRIBUTARIO'!Q234</f>
        <v>0</v>
      </c>
      <c r="S16" s="8">
        <f>'N TRIBUTARIO'!R234</f>
        <v>1</v>
      </c>
      <c r="T16" s="8">
        <f>'N TRIBUTARIO'!S234</f>
        <v>0</v>
      </c>
      <c r="U16" s="8" t="str">
        <f>'N TRIBUTARIO'!T234</f>
        <v>-</v>
      </c>
      <c r="V16" s="8" t="str">
        <f>'N TRIBUTARIO'!U234</f>
        <v xml:space="preserve"> </v>
      </c>
      <c r="W16" s="8" t="str">
        <f>'N TRIBUTARIO'!V234</f>
        <v>OSICALA-1315-SUR</v>
      </c>
      <c r="X16" s="8" t="str">
        <f>'N TRIBUTARIO'!W234</f>
        <v>1315-131079-001-1</v>
      </c>
      <c r="Y16" s="8" t="str">
        <f>'N TRIBUTARIO'!X234</f>
        <v>OSICALA SUR</v>
      </c>
      <c r="Z16" s="8" t="str">
        <f>'N TRIBUTARIO'!Y234</f>
        <v>1315-131079-001-1 OSICALA SUR</v>
      </c>
      <c r="AA16" s="8" t="str">
        <f>'N TRIBUTARIO'!Z234</f>
        <v>1315 OSICALA-SUR</v>
      </c>
      <c r="AB16" s="8">
        <f>'N TRIBUTARIO'!AA234</f>
        <v>0</v>
      </c>
      <c r="AC16" s="8">
        <f>'N TRIBUTARIO'!AB234</f>
        <v>0</v>
      </c>
      <c r="AD16" s="8">
        <f>'N TRIBUTARIO'!AC234</f>
        <v>0</v>
      </c>
    </row>
    <row r="17" spans="1:30" ht="19" customHeight="1" x14ac:dyDescent="0.4">
      <c r="A17" s="8">
        <f>'N TRIBUTARIO'!A235</f>
        <v>0</v>
      </c>
      <c r="B17" s="8" t="str">
        <f>'N TRIBUTARIO'!B235</f>
        <v>13</v>
      </c>
      <c r="C17" s="8" t="str">
        <f>'N TRIBUTARIO'!C235</f>
        <v>10</v>
      </c>
      <c r="D17" s="8" t="str">
        <f>'N TRIBUTARIO'!D235</f>
        <v>79</v>
      </c>
      <c r="E17" s="8" t="str">
        <f>'N TRIBUTARIO'!E235</f>
        <v>001</v>
      </c>
      <c r="F17" s="8">
        <f>'N TRIBUTARIO'!F235</f>
        <v>1</v>
      </c>
      <c r="G17" s="8">
        <f>'N TRIBUTARIO'!G235</f>
        <v>234</v>
      </c>
      <c r="H17" s="8" t="str">
        <f>'N TRIBUTARIO'!H235</f>
        <v>1316</v>
      </c>
      <c r="I17" s="8">
        <f>'N TRIBUTARIO'!I235</f>
        <v>0</v>
      </c>
      <c r="J17" s="8" t="s">
        <v>725</v>
      </c>
      <c r="K17" s="8" t="str">
        <f>'N TRIBUTARIO'!J235</f>
        <v>PERQUIN</v>
      </c>
      <c r="L17" s="8" t="str">
        <f>'N TRIBUTARIO'!K235</f>
        <v>NORTE</v>
      </c>
      <c r="M17" s="8" t="str">
        <f>'N TRIBUTARIO'!L235</f>
        <v>MORAZAN</v>
      </c>
      <c r="N17" s="8">
        <f>'N TRIBUTARIO'!M235</f>
        <v>0</v>
      </c>
      <c r="O17" s="8">
        <f>'N TRIBUTARIO'!N235</f>
        <v>0</v>
      </c>
      <c r="P17" s="8">
        <f>'N TRIBUTARIO'!O235</f>
        <v>0</v>
      </c>
      <c r="Q17" s="8">
        <f>'N TRIBUTARIO'!P235</f>
        <v>1</v>
      </c>
      <c r="R17" s="8">
        <f>'N TRIBUTARIO'!Q235</f>
        <v>0</v>
      </c>
      <c r="S17" s="8">
        <f>'N TRIBUTARIO'!R235</f>
        <v>0</v>
      </c>
      <c r="T17" s="8">
        <f>'N TRIBUTARIO'!S235</f>
        <v>0</v>
      </c>
      <c r="U17" s="8" t="str">
        <f>'N TRIBUTARIO'!T235</f>
        <v>-</v>
      </c>
      <c r="V17" s="8" t="str">
        <f>'N TRIBUTARIO'!U235</f>
        <v xml:space="preserve"> </v>
      </c>
      <c r="W17" s="8" t="str">
        <f>'N TRIBUTARIO'!V235</f>
        <v>PERQUIN-1316-NORTE</v>
      </c>
      <c r="X17" s="8" t="str">
        <f>'N TRIBUTARIO'!W235</f>
        <v>1316-131079-001-1</v>
      </c>
      <c r="Y17" s="8" t="str">
        <f>'N TRIBUTARIO'!X235</f>
        <v>PERQUIN NORTE</v>
      </c>
      <c r="Z17" s="8" t="str">
        <f>'N TRIBUTARIO'!Y235</f>
        <v>1316-131079-001-1 PERQUIN NORTE</v>
      </c>
      <c r="AA17" s="8" t="str">
        <f>'N TRIBUTARIO'!Z235</f>
        <v>1316 PERQUIN-NORTE</v>
      </c>
      <c r="AB17" s="8">
        <f>'N TRIBUTARIO'!AA235</f>
        <v>0</v>
      </c>
      <c r="AC17" s="8">
        <f>'N TRIBUTARIO'!AB235</f>
        <v>0</v>
      </c>
      <c r="AD17" s="8">
        <f>'N TRIBUTARIO'!AC235</f>
        <v>0</v>
      </c>
    </row>
    <row r="18" spans="1:30" ht="19" customHeight="1" x14ac:dyDescent="0.4">
      <c r="A18" s="8">
        <f>'N TRIBUTARIO'!A236</f>
        <v>0</v>
      </c>
      <c r="B18" s="8" t="str">
        <f>'N TRIBUTARIO'!B236</f>
        <v>13</v>
      </c>
      <c r="C18" s="8" t="str">
        <f>'N TRIBUTARIO'!C236</f>
        <v>10</v>
      </c>
      <c r="D18" s="8" t="str">
        <f>'N TRIBUTARIO'!D236</f>
        <v>79</v>
      </c>
      <c r="E18" s="8" t="str">
        <f>'N TRIBUTARIO'!E236</f>
        <v>001</v>
      </c>
      <c r="F18" s="8">
        <f>'N TRIBUTARIO'!F236</f>
        <v>1</v>
      </c>
      <c r="G18" s="8">
        <f>'N TRIBUTARIO'!G236</f>
        <v>235</v>
      </c>
      <c r="H18" s="8" t="str">
        <f>'N TRIBUTARIO'!H236</f>
        <v>1317</v>
      </c>
      <c r="I18" s="8">
        <f>'N TRIBUTARIO'!I236</f>
        <v>0</v>
      </c>
      <c r="J18" s="8" t="s">
        <v>725</v>
      </c>
      <c r="K18" s="8" t="str">
        <f>'N TRIBUTARIO'!J236</f>
        <v>SAN CARLOS</v>
      </c>
      <c r="L18" s="8" t="str">
        <f>'N TRIBUTARIO'!K236</f>
        <v>SUR</v>
      </c>
      <c r="M18" s="8" t="str">
        <f>'N TRIBUTARIO'!L236</f>
        <v>MORAZAN</v>
      </c>
      <c r="N18" s="8">
        <f>'N TRIBUTARIO'!M236</f>
        <v>0</v>
      </c>
      <c r="O18" s="8">
        <f>'N TRIBUTARIO'!N236</f>
        <v>0</v>
      </c>
      <c r="P18" s="8">
        <f>'N TRIBUTARIO'!O236</f>
        <v>0</v>
      </c>
      <c r="Q18" s="8">
        <f>'N TRIBUTARIO'!P236</f>
        <v>0</v>
      </c>
      <c r="R18" s="8">
        <f>'N TRIBUTARIO'!Q236</f>
        <v>0</v>
      </c>
      <c r="S18" s="8">
        <f>'N TRIBUTARIO'!R236</f>
        <v>1</v>
      </c>
      <c r="T18" s="8">
        <f>'N TRIBUTARIO'!S236</f>
        <v>0</v>
      </c>
      <c r="U18" s="8" t="str">
        <f>'N TRIBUTARIO'!T236</f>
        <v>-</v>
      </c>
      <c r="V18" s="8" t="str">
        <f>'N TRIBUTARIO'!U236</f>
        <v xml:space="preserve"> </v>
      </c>
      <c r="W18" s="8" t="str">
        <f>'N TRIBUTARIO'!V236</f>
        <v>SAN CARLOS-1317-SUR</v>
      </c>
      <c r="X18" s="8" t="str">
        <f>'N TRIBUTARIO'!W236</f>
        <v>1317-131079-001-1</v>
      </c>
      <c r="Y18" s="8" t="str">
        <f>'N TRIBUTARIO'!X236</f>
        <v>SAN CARLOS SUR</v>
      </c>
      <c r="Z18" s="8" t="str">
        <f>'N TRIBUTARIO'!Y236</f>
        <v>1317-131079-001-1 SAN CARLOS SUR</v>
      </c>
      <c r="AA18" s="8" t="str">
        <f>'N TRIBUTARIO'!Z236</f>
        <v>1317 SAN CARLOS-SUR</v>
      </c>
      <c r="AB18" s="8">
        <f>'N TRIBUTARIO'!AA236</f>
        <v>0</v>
      </c>
      <c r="AC18" s="8">
        <f>'N TRIBUTARIO'!AB236</f>
        <v>0</v>
      </c>
      <c r="AD18" s="8">
        <f>'N TRIBUTARIO'!AC236</f>
        <v>0</v>
      </c>
    </row>
    <row r="19" spans="1:30" ht="19" customHeight="1" x14ac:dyDescent="0.4">
      <c r="A19" s="8">
        <f>'N TRIBUTARIO'!A237</f>
        <v>0</v>
      </c>
      <c r="B19" s="8" t="str">
        <f>'N TRIBUTARIO'!B237</f>
        <v>13</v>
      </c>
      <c r="C19" s="8" t="str">
        <f>'N TRIBUTARIO'!C237</f>
        <v>10</v>
      </c>
      <c r="D19" s="8" t="str">
        <f>'N TRIBUTARIO'!D237</f>
        <v>79</v>
      </c>
      <c r="E19" s="8" t="str">
        <f>'N TRIBUTARIO'!E237</f>
        <v>001</v>
      </c>
      <c r="F19" s="8">
        <f>'N TRIBUTARIO'!F237</f>
        <v>1</v>
      </c>
      <c r="G19" s="8">
        <f>'N TRIBUTARIO'!G237</f>
        <v>236</v>
      </c>
      <c r="H19" s="8" t="str">
        <f>'N TRIBUTARIO'!H237</f>
        <v>1318</v>
      </c>
      <c r="I19" s="8">
        <f>'N TRIBUTARIO'!I237</f>
        <v>0</v>
      </c>
      <c r="J19" s="8" t="s">
        <v>725</v>
      </c>
      <c r="K19" s="8" t="str">
        <f>'N TRIBUTARIO'!J237</f>
        <v>SAN FERNANDO MORAZAN</v>
      </c>
      <c r="L19" s="8" t="str">
        <f>'N TRIBUTARIO'!K237</f>
        <v>NORTE</v>
      </c>
      <c r="M19" s="8" t="str">
        <f>'N TRIBUTARIO'!L237</f>
        <v>MORAZAN</v>
      </c>
      <c r="N19" s="8">
        <f>'N TRIBUTARIO'!M237</f>
        <v>0</v>
      </c>
      <c r="O19" s="8">
        <f>'N TRIBUTARIO'!N237</f>
        <v>0</v>
      </c>
      <c r="P19" s="8">
        <f>'N TRIBUTARIO'!O237</f>
        <v>0</v>
      </c>
      <c r="Q19" s="8">
        <f>'N TRIBUTARIO'!P237</f>
        <v>1</v>
      </c>
      <c r="R19" s="8">
        <f>'N TRIBUTARIO'!Q237</f>
        <v>0</v>
      </c>
      <c r="S19" s="8">
        <f>'N TRIBUTARIO'!R237</f>
        <v>0</v>
      </c>
      <c r="T19" s="8">
        <f>'N TRIBUTARIO'!S237</f>
        <v>0</v>
      </c>
      <c r="U19" s="8" t="str">
        <f>'N TRIBUTARIO'!T237</f>
        <v>-</v>
      </c>
      <c r="V19" s="8" t="str">
        <f>'N TRIBUTARIO'!U237</f>
        <v xml:space="preserve"> </v>
      </c>
      <c r="W19" s="8" t="str">
        <f>'N TRIBUTARIO'!V237</f>
        <v>SAN FERNANDO MORAZAN-1318-NORTE</v>
      </c>
      <c r="X19" s="8" t="str">
        <f>'N TRIBUTARIO'!W237</f>
        <v>1318-131079-001-1</v>
      </c>
      <c r="Y19" s="8" t="str">
        <f>'N TRIBUTARIO'!X237</f>
        <v>SAN FERNANDO MORAZAN NORTE</v>
      </c>
      <c r="Z19" s="8" t="str">
        <f>'N TRIBUTARIO'!Y237</f>
        <v>1318-131079-001-1 SAN FERNANDO MORAZAN NORTE</v>
      </c>
      <c r="AA19" s="8" t="str">
        <f>'N TRIBUTARIO'!Z237</f>
        <v>1318 SAN FERNANDO MORAZAN-NORTE</v>
      </c>
      <c r="AB19" s="8">
        <f>'N TRIBUTARIO'!AA237</f>
        <v>0</v>
      </c>
      <c r="AC19" s="8">
        <f>'N TRIBUTARIO'!AB237</f>
        <v>0</v>
      </c>
      <c r="AD19" s="8">
        <f>'N TRIBUTARIO'!AC237</f>
        <v>0</v>
      </c>
    </row>
    <row r="20" spans="1:30" ht="19" customHeight="1" x14ac:dyDescent="0.4">
      <c r="A20" s="8">
        <f>'N TRIBUTARIO'!A238</f>
        <v>0</v>
      </c>
      <c r="B20" s="8" t="str">
        <f>'N TRIBUTARIO'!B238</f>
        <v>01</v>
      </c>
      <c r="C20" s="8" t="str">
        <f>'N TRIBUTARIO'!C238</f>
        <v>06</v>
      </c>
      <c r="D20" s="8" t="str">
        <f>'N TRIBUTARIO'!D238</f>
        <v>11</v>
      </c>
      <c r="E20" s="8" t="str">
        <f>'N TRIBUTARIO'!E238</f>
        <v>001</v>
      </c>
      <c r="F20" s="8">
        <f>'N TRIBUTARIO'!F238</f>
        <v>8</v>
      </c>
      <c r="G20" s="8">
        <f>'N TRIBUTARIO'!G238</f>
        <v>237</v>
      </c>
      <c r="H20" s="8" t="str">
        <f>'N TRIBUTARIO'!H238</f>
        <v>1319</v>
      </c>
      <c r="I20" s="8">
        <f>'N TRIBUTARIO'!I238</f>
        <v>13</v>
      </c>
      <c r="J20" s="8" t="s">
        <v>725</v>
      </c>
      <c r="K20" s="8" t="str">
        <f>'N TRIBUTARIO'!J238</f>
        <v>SAN FRANCISCO GOTERA</v>
      </c>
      <c r="L20" s="8" t="str">
        <f>'N TRIBUTARIO'!K238</f>
        <v>SUR</v>
      </c>
      <c r="M20" s="8" t="str">
        <f>'N TRIBUTARIO'!L238</f>
        <v>MORAZAN</v>
      </c>
      <c r="N20" s="8">
        <f>'N TRIBUTARIO'!M238</f>
        <v>0</v>
      </c>
      <c r="O20" s="8">
        <f>'N TRIBUTARIO'!N238</f>
        <v>0</v>
      </c>
      <c r="P20" s="8">
        <f>'N TRIBUTARIO'!O238</f>
        <v>0</v>
      </c>
      <c r="Q20" s="8">
        <f>'N TRIBUTARIO'!P238</f>
        <v>0</v>
      </c>
      <c r="R20" s="8">
        <f>'N TRIBUTARIO'!Q238</f>
        <v>0</v>
      </c>
      <c r="S20" s="8">
        <f>'N TRIBUTARIO'!R238</f>
        <v>1</v>
      </c>
      <c r="T20" s="8">
        <f>'N TRIBUTARIO'!S238</f>
        <v>0</v>
      </c>
      <c r="U20" s="8" t="str">
        <f>'N TRIBUTARIO'!T238</f>
        <v>-</v>
      </c>
      <c r="V20" s="8" t="str">
        <f>'N TRIBUTARIO'!U238</f>
        <v xml:space="preserve"> </v>
      </c>
      <c r="W20" s="8" t="str">
        <f>'N TRIBUTARIO'!V238</f>
        <v>SAN FRANCISCO GOTERA-1319-SUR</v>
      </c>
      <c r="X20" s="8" t="str">
        <f>'N TRIBUTARIO'!W238</f>
        <v>1319-010611-001-8</v>
      </c>
      <c r="Y20" s="8" t="str">
        <f>'N TRIBUTARIO'!X238</f>
        <v>SAN FRANCISCO GOTERA SUR</v>
      </c>
      <c r="Z20" s="8" t="str">
        <f>'N TRIBUTARIO'!Y238</f>
        <v>1319-010611-001-8 SAN FRANCISCO GOTERA SUR</v>
      </c>
      <c r="AA20" s="8" t="str">
        <f>'N TRIBUTARIO'!Z238</f>
        <v>1319 SAN FRANCISCO GOTERA-SUR</v>
      </c>
      <c r="AB20" s="8">
        <f>'N TRIBUTARIO'!AA238</f>
        <v>0</v>
      </c>
      <c r="AC20" s="8">
        <f>'N TRIBUTARIO'!AB238</f>
        <v>0</v>
      </c>
      <c r="AD20" s="8">
        <f>'N TRIBUTARIO'!AC238</f>
        <v>0</v>
      </c>
    </row>
    <row r="21" spans="1:30" ht="19" customHeight="1" x14ac:dyDescent="0.4">
      <c r="A21" s="8">
        <f>'N TRIBUTARIO'!A239</f>
        <v>0</v>
      </c>
      <c r="B21" s="8" t="str">
        <f>'N TRIBUTARIO'!B239</f>
        <v>13</v>
      </c>
      <c r="C21" s="8" t="str">
        <f>'N TRIBUTARIO'!C239</f>
        <v>10</v>
      </c>
      <c r="D21" s="8" t="str">
        <f>'N TRIBUTARIO'!D239</f>
        <v>79</v>
      </c>
      <c r="E21" s="8" t="str">
        <f>'N TRIBUTARIO'!E239</f>
        <v>001</v>
      </c>
      <c r="F21" s="8">
        <f>'N TRIBUTARIO'!F239</f>
        <v>2</v>
      </c>
      <c r="G21" s="8">
        <f>'N TRIBUTARIO'!G239</f>
        <v>238</v>
      </c>
      <c r="H21" s="8" t="str">
        <f>'N TRIBUTARIO'!H239</f>
        <v>1320</v>
      </c>
      <c r="I21" s="8">
        <f>'N TRIBUTARIO'!I239</f>
        <v>0</v>
      </c>
      <c r="J21" s="8" t="s">
        <v>725</v>
      </c>
      <c r="K21" s="8" t="str">
        <f>'N TRIBUTARIO'!J239</f>
        <v>SAN ISIDRO MORAZAN</v>
      </c>
      <c r="L21" s="8" t="str">
        <f>'N TRIBUTARIO'!K239</f>
        <v>NORTE</v>
      </c>
      <c r="M21" s="8" t="str">
        <f>'N TRIBUTARIO'!L239</f>
        <v>MORAZAN</v>
      </c>
      <c r="N21" s="8">
        <f>'N TRIBUTARIO'!M239</f>
        <v>0</v>
      </c>
      <c r="O21" s="8">
        <f>'N TRIBUTARIO'!N239</f>
        <v>0</v>
      </c>
      <c r="P21" s="8">
        <f>'N TRIBUTARIO'!O239</f>
        <v>0</v>
      </c>
      <c r="Q21" s="8">
        <f>'N TRIBUTARIO'!P239</f>
        <v>1</v>
      </c>
      <c r="R21" s="8">
        <f>'N TRIBUTARIO'!Q239</f>
        <v>0</v>
      </c>
      <c r="S21" s="8">
        <f>'N TRIBUTARIO'!R239</f>
        <v>0</v>
      </c>
      <c r="T21" s="8">
        <f>'N TRIBUTARIO'!S239</f>
        <v>0</v>
      </c>
      <c r="U21" s="8" t="str">
        <f>'N TRIBUTARIO'!T239</f>
        <v>-</v>
      </c>
      <c r="V21" s="8" t="str">
        <f>'N TRIBUTARIO'!U239</f>
        <v xml:space="preserve"> </v>
      </c>
      <c r="W21" s="8" t="str">
        <f>'N TRIBUTARIO'!V239</f>
        <v>SAN ISIDRO MORAZAN-1320-NORTE</v>
      </c>
      <c r="X21" s="8" t="str">
        <f>'N TRIBUTARIO'!W239</f>
        <v>1320-131079-001-2</v>
      </c>
      <c r="Y21" s="8" t="str">
        <f>'N TRIBUTARIO'!X239</f>
        <v>SAN ISIDRO MORAZAN NORTE</v>
      </c>
      <c r="Z21" s="8" t="str">
        <f>'N TRIBUTARIO'!Y239</f>
        <v>1320-131079-001-2 SAN ISIDRO MORAZAN NORTE</v>
      </c>
      <c r="AA21" s="8" t="str">
        <f>'N TRIBUTARIO'!Z239</f>
        <v>1320 SAN ISIDRO MORAZAN-NORTE</v>
      </c>
      <c r="AB21" s="8">
        <f>'N TRIBUTARIO'!AA239</f>
        <v>0</v>
      </c>
      <c r="AC21" s="8">
        <f>'N TRIBUTARIO'!AB239</f>
        <v>0</v>
      </c>
      <c r="AD21" s="8">
        <f>'N TRIBUTARIO'!AC239</f>
        <v>0</v>
      </c>
    </row>
    <row r="22" spans="1:30" ht="19" customHeight="1" x14ac:dyDescent="0.4">
      <c r="A22" s="8">
        <f>'N TRIBUTARIO'!A240</f>
        <v>0</v>
      </c>
      <c r="B22" s="8" t="str">
        <f>'N TRIBUTARIO'!B240</f>
        <v>13</v>
      </c>
      <c r="C22" s="8" t="str">
        <f>'N TRIBUTARIO'!C240</f>
        <v>10</v>
      </c>
      <c r="D22" s="8" t="str">
        <f>'N TRIBUTARIO'!D240</f>
        <v>79</v>
      </c>
      <c r="E22" s="8" t="str">
        <f>'N TRIBUTARIO'!E240</f>
        <v>002</v>
      </c>
      <c r="F22" s="8">
        <f>'N TRIBUTARIO'!F240</f>
        <v>4</v>
      </c>
      <c r="G22" s="8">
        <f>'N TRIBUTARIO'!G240</f>
        <v>239</v>
      </c>
      <c r="H22" s="8" t="str">
        <f>'N TRIBUTARIO'!H240</f>
        <v>1321</v>
      </c>
      <c r="I22" s="8">
        <f>'N TRIBUTARIO'!I240</f>
        <v>0</v>
      </c>
      <c r="J22" s="8" t="s">
        <v>725</v>
      </c>
      <c r="K22" s="8" t="str">
        <f>'N TRIBUTARIO'!J240</f>
        <v>SAN SIMON</v>
      </c>
      <c r="L22" s="8" t="str">
        <f>'N TRIBUTARIO'!K240</f>
        <v>SUR</v>
      </c>
      <c r="M22" s="8" t="str">
        <f>'N TRIBUTARIO'!L240</f>
        <v>MORAZAN</v>
      </c>
      <c r="N22" s="8">
        <f>'N TRIBUTARIO'!M240</f>
        <v>0</v>
      </c>
      <c r="O22" s="8">
        <f>'N TRIBUTARIO'!N240</f>
        <v>0</v>
      </c>
      <c r="P22" s="8">
        <f>'N TRIBUTARIO'!O240</f>
        <v>0</v>
      </c>
      <c r="Q22" s="8">
        <f>'N TRIBUTARIO'!P240</f>
        <v>0</v>
      </c>
      <c r="R22" s="8">
        <f>'N TRIBUTARIO'!Q240</f>
        <v>0</v>
      </c>
      <c r="S22" s="8">
        <f>'N TRIBUTARIO'!R240</f>
        <v>1</v>
      </c>
      <c r="T22" s="8">
        <f>'N TRIBUTARIO'!S240</f>
        <v>0</v>
      </c>
      <c r="U22" s="8" t="str">
        <f>'N TRIBUTARIO'!T240</f>
        <v>-</v>
      </c>
      <c r="V22" s="8" t="str">
        <f>'N TRIBUTARIO'!U240</f>
        <v xml:space="preserve"> </v>
      </c>
      <c r="W22" s="8" t="str">
        <f>'N TRIBUTARIO'!V240</f>
        <v>SAN SIMON-1321-SUR</v>
      </c>
      <c r="X22" s="8" t="str">
        <f>'N TRIBUTARIO'!W240</f>
        <v>1321-131079-002-4</v>
      </c>
      <c r="Y22" s="8" t="str">
        <f>'N TRIBUTARIO'!X240</f>
        <v>SAN SIMON SUR</v>
      </c>
      <c r="Z22" s="8" t="str">
        <f>'N TRIBUTARIO'!Y240</f>
        <v>1321-131079-002-4 SAN SIMON SUR</v>
      </c>
      <c r="AA22" s="8" t="str">
        <f>'N TRIBUTARIO'!Z240</f>
        <v>1321 SAN SIMON-SUR</v>
      </c>
      <c r="AB22" s="8">
        <f>'N TRIBUTARIO'!AA240</f>
        <v>0</v>
      </c>
      <c r="AC22" s="8">
        <f>'N TRIBUTARIO'!AB240</f>
        <v>0</v>
      </c>
      <c r="AD22" s="8">
        <f>'N TRIBUTARIO'!AC240</f>
        <v>0</v>
      </c>
    </row>
    <row r="23" spans="1:30" ht="19" customHeight="1" x14ac:dyDescent="0.4">
      <c r="A23" s="8">
        <f>'N TRIBUTARIO'!A241</f>
        <v>0</v>
      </c>
      <c r="B23" s="8" t="str">
        <f>'N TRIBUTARIO'!B241</f>
        <v>13</v>
      </c>
      <c r="C23" s="8" t="str">
        <f>'N TRIBUTARIO'!C241</f>
        <v>10</v>
      </c>
      <c r="D23" s="8" t="str">
        <f>'N TRIBUTARIO'!D241</f>
        <v>79</v>
      </c>
      <c r="E23" s="8" t="str">
        <f>'N TRIBUTARIO'!E241</f>
        <v>001</v>
      </c>
      <c r="F23" s="8">
        <f>'N TRIBUTARIO'!F241</f>
        <v>2</v>
      </c>
      <c r="G23" s="8">
        <f>'N TRIBUTARIO'!G241</f>
        <v>240</v>
      </c>
      <c r="H23" s="8" t="str">
        <f>'N TRIBUTARIO'!H241</f>
        <v>1322</v>
      </c>
      <c r="I23" s="8">
        <f>'N TRIBUTARIO'!I241</f>
        <v>0</v>
      </c>
      <c r="J23" s="8" t="s">
        <v>725</v>
      </c>
      <c r="K23" s="8" t="str">
        <f>'N TRIBUTARIO'!J241</f>
        <v>SENSEMBRA</v>
      </c>
      <c r="L23" s="8" t="str">
        <f>'N TRIBUTARIO'!K241</f>
        <v>SUR</v>
      </c>
      <c r="M23" s="8" t="str">
        <f>'N TRIBUTARIO'!L241</f>
        <v>MORAZAN</v>
      </c>
      <c r="N23" s="8">
        <f>'N TRIBUTARIO'!M241</f>
        <v>0</v>
      </c>
      <c r="O23" s="8">
        <f>'N TRIBUTARIO'!N241</f>
        <v>0</v>
      </c>
      <c r="P23" s="8">
        <f>'N TRIBUTARIO'!O241</f>
        <v>0</v>
      </c>
      <c r="Q23" s="8">
        <f>'N TRIBUTARIO'!P241</f>
        <v>0</v>
      </c>
      <c r="R23" s="8">
        <f>'N TRIBUTARIO'!Q241</f>
        <v>0</v>
      </c>
      <c r="S23" s="8">
        <f>'N TRIBUTARIO'!R241</f>
        <v>1</v>
      </c>
      <c r="T23" s="8">
        <f>'N TRIBUTARIO'!S241</f>
        <v>0</v>
      </c>
      <c r="U23" s="8" t="str">
        <f>'N TRIBUTARIO'!T241</f>
        <v>-</v>
      </c>
      <c r="V23" s="8" t="str">
        <f>'N TRIBUTARIO'!U241</f>
        <v xml:space="preserve"> </v>
      </c>
      <c r="W23" s="8" t="str">
        <f>'N TRIBUTARIO'!V241</f>
        <v>SENSEMBRA-1322-SUR</v>
      </c>
      <c r="X23" s="8" t="str">
        <f>'N TRIBUTARIO'!W241</f>
        <v>1322-131079-001-2</v>
      </c>
      <c r="Y23" s="8" t="str">
        <f>'N TRIBUTARIO'!X241</f>
        <v>SENSEMBRA SUR</v>
      </c>
      <c r="Z23" s="8" t="str">
        <f>'N TRIBUTARIO'!Y241</f>
        <v>1322-131079-001-2 SENSEMBRA SUR</v>
      </c>
      <c r="AA23" s="8" t="str">
        <f>'N TRIBUTARIO'!Z241</f>
        <v>1322 SENSEMBRA-SUR</v>
      </c>
      <c r="AB23" s="8">
        <f>'N TRIBUTARIO'!AA241</f>
        <v>0</v>
      </c>
      <c r="AC23" s="8">
        <f>'N TRIBUTARIO'!AB241</f>
        <v>0</v>
      </c>
      <c r="AD23" s="8">
        <f>'N TRIBUTARIO'!AC241</f>
        <v>0</v>
      </c>
    </row>
    <row r="24" spans="1:30" ht="19" customHeight="1" x14ac:dyDescent="0.4">
      <c r="A24" s="8">
        <f>'N TRIBUTARIO'!A242</f>
        <v>0</v>
      </c>
      <c r="B24" s="8" t="str">
        <f>'N TRIBUTARIO'!B242</f>
        <v>13</v>
      </c>
      <c r="C24" s="8" t="str">
        <f>'N TRIBUTARIO'!C242</f>
        <v>10</v>
      </c>
      <c r="D24" s="8" t="str">
        <f>'N TRIBUTARIO'!D242</f>
        <v>79</v>
      </c>
      <c r="E24" s="8" t="str">
        <f>'N TRIBUTARIO'!E242</f>
        <v>001</v>
      </c>
      <c r="F24" s="8">
        <f>'N TRIBUTARIO'!F242</f>
        <v>2</v>
      </c>
      <c r="G24" s="8">
        <f>'N TRIBUTARIO'!G242</f>
        <v>241</v>
      </c>
      <c r="H24" s="8" t="str">
        <f>'N TRIBUTARIO'!H242</f>
        <v>1323</v>
      </c>
      <c r="I24" s="8">
        <f>'N TRIBUTARIO'!I242</f>
        <v>0</v>
      </c>
      <c r="J24" s="8" t="s">
        <v>725</v>
      </c>
      <c r="K24" s="8" t="str">
        <f>'N TRIBUTARIO'!J242</f>
        <v>SOCIEDAD</v>
      </c>
      <c r="L24" s="8" t="str">
        <f>'N TRIBUTARIO'!K242</f>
        <v>SUR</v>
      </c>
      <c r="M24" s="8" t="str">
        <f>'N TRIBUTARIO'!L242</f>
        <v>MORAZAN</v>
      </c>
      <c r="N24" s="8">
        <f>'N TRIBUTARIO'!M242</f>
        <v>0</v>
      </c>
      <c r="O24" s="8">
        <f>'N TRIBUTARIO'!N242</f>
        <v>0</v>
      </c>
      <c r="P24" s="8">
        <f>'N TRIBUTARIO'!O242</f>
        <v>0</v>
      </c>
      <c r="Q24" s="8">
        <f>'N TRIBUTARIO'!P242</f>
        <v>0</v>
      </c>
      <c r="R24" s="8">
        <f>'N TRIBUTARIO'!Q242</f>
        <v>0</v>
      </c>
      <c r="S24" s="8">
        <f>'N TRIBUTARIO'!R242</f>
        <v>1</v>
      </c>
      <c r="T24" s="8">
        <f>'N TRIBUTARIO'!S242</f>
        <v>0</v>
      </c>
      <c r="U24" s="8" t="str">
        <f>'N TRIBUTARIO'!T242</f>
        <v>-</v>
      </c>
      <c r="V24" s="8" t="str">
        <f>'N TRIBUTARIO'!U242</f>
        <v xml:space="preserve"> </v>
      </c>
      <c r="W24" s="8" t="str">
        <f>'N TRIBUTARIO'!V242</f>
        <v>SOCIEDAD-1323-SUR</v>
      </c>
      <c r="X24" s="8" t="str">
        <f>'N TRIBUTARIO'!W242</f>
        <v>1323-131079-001-2</v>
      </c>
      <c r="Y24" s="8" t="str">
        <f>'N TRIBUTARIO'!X242</f>
        <v>SOCIEDAD SUR</v>
      </c>
      <c r="Z24" s="8" t="str">
        <f>'N TRIBUTARIO'!Y242</f>
        <v>1323-131079-001-2 SOCIEDAD SUR</v>
      </c>
      <c r="AA24" s="8" t="str">
        <f>'N TRIBUTARIO'!Z242</f>
        <v>1323 SOCIEDAD-SUR</v>
      </c>
      <c r="AB24" s="8">
        <f>'N TRIBUTARIO'!AA242</f>
        <v>0</v>
      </c>
      <c r="AC24" s="8">
        <f>'N TRIBUTARIO'!AB242</f>
        <v>0</v>
      </c>
      <c r="AD24" s="8">
        <f>'N TRIBUTARIO'!AC242</f>
        <v>0</v>
      </c>
    </row>
    <row r="25" spans="1:30" ht="19" customHeight="1" x14ac:dyDescent="0.4">
      <c r="A25" s="8">
        <f>'N TRIBUTARIO'!A243</f>
        <v>0</v>
      </c>
      <c r="B25" s="8" t="str">
        <f>'N TRIBUTARIO'!B243</f>
        <v>13</v>
      </c>
      <c r="C25" s="8" t="str">
        <f>'N TRIBUTARIO'!C243</f>
        <v>10</v>
      </c>
      <c r="D25" s="8" t="str">
        <f>'N TRIBUTARIO'!D243</f>
        <v>79</v>
      </c>
      <c r="E25" s="8" t="str">
        <f>'N TRIBUTARIO'!E243</f>
        <v>001</v>
      </c>
      <c r="F25" s="8">
        <f>'N TRIBUTARIO'!F243</f>
        <v>2</v>
      </c>
      <c r="G25" s="8">
        <f>'N TRIBUTARIO'!G243</f>
        <v>242</v>
      </c>
      <c r="H25" s="8" t="str">
        <f>'N TRIBUTARIO'!H243</f>
        <v>1324</v>
      </c>
      <c r="I25" s="8">
        <f>'N TRIBUTARIO'!I243</f>
        <v>0</v>
      </c>
      <c r="J25" s="8" t="s">
        <v>725</v>
      </c>
      <c r="K25" s="8" t="str">
        <f>'N TRIBUTARIO'!J243</f>
        <v>TOROLA</v>
      </c>
      <c r="L25" s="8" t="str">
        <f>'N TRIBUTARIO'!K243</f>
        <v>NORTE</v>
      </c>
      <c r="M25" s="8" t="str">
        <f>'N TRIBUTARIO'!L243</f>
        <v>MORAZAN</v>
      </c>
      <c r="N25" s="8">
        <f>'N TRIBUTARIO'!M243</f>
        <v>0</v>
      </c>
      <c r="O25" s="8">
        <f>'N TRIBUTARIO'!N243</f>
        <v>0</v>
      </c>
      <c r="P25" s="8">
        <f>'N TRIBUTARIO'!O243</f>
        <v>0</v>
      </c>
      <c r="Q25" s="8">
        <f>'N TRIBUTARIO'!P243</f>
        <v>1</v>
      </c>
      <c r="R25" s="8">
        <f>'N TRIBUTARIO'!Q243</f>
        <v>0</v>
      </c>
      <c r="S25" s="8">
        <f>'N TRIBUTARIO'!R243</f>
        <v>0</v>
      </c>
      <c r="T25" s="8">
        <f>'N TRIBUTARIO'!S243</f>
        <v>0</v>
      </c>
      <c r="U25" s="8" t="str">
        <f>'N TRIBUTARIO'!T243</f>
        <v>-</v>
      </c>
      <c r="V25" s="8" t="str">
        <f>'N TRIBUTARIO'!U243</f>
        <v xml:space="preserve"> </v>
      </c>
      <c r="W25" s="8" t="str">
        <f>'N TRIBUTARIO'!V243</f>
        <v>TOROLA-1324-NORTE</v>
      </c>
      <c r="X25" s="8" t="str">
        <f>'N TRIBUTARIO'!W243</f>
        <v>1324-131079-001-2</v>
      </c>
      <c r="Y25" s="8" t="str">
        <f>'N TRIBUTARIO'!X243</f>
        <v>TOROLA NORTE</v>
      </c>
      <c r="Z25" s="8" t="str">
        <f>'N TRIBUTARIO'!Y243</f>
        <v>1324-131079-001-2 TOROLA NORTE</v>
      </c>
      <c r="AA25" s="8" t="str">
        <f>'N TRIBUTARIO'!Z243</f>
        <v>1324 TOROLA-NORTE</v>
      </c>
      <c r="AB25" s="8">
        <f>'N TRIBUTARIO'!AA243</f>
        <v>0</v>
      </c>
      <c r="AC25" s="8">
        <f>'N TRIBUTARIO'!AB243</f>
        <v>0</v>
      </c>
      <c r="AD25" s="8">
        <f>'N TRIBUTARIO'!AC243</f>
        <v>0</v>
      </c>
    </row>
    <row r="26" spans="1:30" ht="19" customHeight="1" x14ac:dyDescent="0.4">
      <c r="A26" s="8">
        <f>'N TRIBUTARIO'!A244</f>
        <v>0</v>
      </c>
      <c r="B26" s="8" t="str">
        <f>'N TRIBUTARIO'!B244</f>
        <v>13</v>
      </c>
      <c r="C26" s="8" t="str">
        <f>'N TRIBUTARIO'!C244</f>
        <v>10</v>
      </c>
      <c r="D26" s="8" t="str">
        <f>'N TRIBUTARIO'!D244</f>
        <v>79</v>
      </c>
      <c r="E26" s="8" t="str">
        <f>'N TRIBUTARIO'!E244</f>
        <v>001</v>
      </c>
      <c r="F26" s="8">
        <f>'N TRIBUTARIO'!F244</f>
        <v>2</v>
      </c>
      <c r="G26" s="8">
        <f>'N TRIBUTARIO'!G244</f>
        <v>243</v>
      </c>
      <c r="H26" s="8" t="str">
        <f>'N TRIBUTARIO'!H244</f>
        <v>1325</v>
      </c>
      <c r="I26" s="8">
        <f>'N TRIBUTARIO'!I244</f>
        <v>0</v>
      </c>
      <c r="J26" s="8" t="s">
        <v>725</v>
      </c>
      <c r="K26" s="8" t="str">
        <f>'N TRIBUTARIO'!J244</f>
        <v>YAMABAL</v>
      </c>
      <c r="L26" s="8" t="str">
        <f>'N TRIBUTARIO'!K244</f>
        <v>SUR</v>
      </c>
      <c r="M26" s="8" t="str">
        <f>'N TRIBUTARIO'!L244</f>
        <v>MORAZAN</v>
      </c>
      <c r="N26" s="8">
        <f>'N TRIBUTARIO'!M244</f>
        <v>0</v>
      </c>
      <c r="O26" s="8">
        <f>'N TRIBUTARIO'!N244</f>
        <v>0</v>
      </c>
      <c r="P26" s="8">
        <f>'N TRIBUTARIO'!O244</f>
        <v>0</v>
      </c>
      <c r="Q26" s="8">
        <f>'N TRIBUTARIO'!P244</f>
        <v>0</v>
      </c>
      <c r="R26" s="8">
        <f>'N TRIBUTARIO'!Q244</f>
        <v>0</v>
      </c>
      <c r="S26" s="8">
        <f>'N TRIBUTARIO'!R244</f>
        <v>1</v>
      </c>
      <c r="T26" s="8">
        <f>'N TRIBUTARIO'!S244</f>
        <v>0</v>
      </c>
      <c r="U26" s="8" t="str">
        <f>'N TRIBUTARIO'!T244</f>
        <v>-</v>
      </c>
      <c r="V26" s="8" t="str">
        <f>'N TRIBUTARIO'!U244</f>
        <v xml:space="preserve"> </v>
      </c>
      <c r="W26" s="8" t="str">
        <f>'N TRIBUTARIO'!V244</f>
        <v>YAMABAL-1325-SUR</v>
      </c>
      <c r="X26" s="8" t="str">
        <f>'N TRIBUTARIO'!W244</f>
        <v>1325-131079-001-2</v>
      </c>
      <c r="Y26" s="8" t="str">
        <f>'N TRIBUTARIO'!X244</f>
        <v>YAMABAL SUR</v>
      </c>
      <c r="Z26" s="8" t="str">
        <f>'N TRIBUTARIO'!Y244</f>
        <v>1325-131079-001-2 YAMABAL SUR</v>
      </c>
      <c r="AA26" s="8" t="str">
        <f>'N TRIBUTARIO'!Z244</f>
        <v>1325 YAMABAL-SUR</v>
      </c>
      <c r="AB26" s="8">
        <f>'N TRIBUTARIO'!AA244</f>
        <v>0</v>
      </c>
      <c r="AC26" s="8">
        <f>'N TRIBUTARIO'!AB244</f>
        <v>0</v>
      </c>
      <c r="AD26" s="8">
        <f>'N TRIBUTARIO'!AC244</f>
        <v>0</v>
      </c>
    </row>
    <row r="27" spans="1:30" ht="19" customHeight="1" x14ac:dyDescent="0.4">
      <c r="A27" s="8">
        <f>'N TRIBUTARIO'!A245</f>
        <v>0</v>
      </c>
      <c r="B27" s="8" t="str">
        <f>'N TRIBUTARIO'!B245</f>
        <v>13</v>
      </c>
      <c r="C27" s="8" t="str">
        <f>'N TRIBUTARIO'!C245</f>
        <v>10</v>
      </c>
      <c r="D27" s="8" t="str">
        <f>'N TRIBUTARIO'!D245</f>
        <v>79</v>
      </c>
      <c r="E27" s="8" t="str">
        <f>'N TRIBUTARIO'!E245</f>
        <v>001</v>
      </c>
      <c r="F27" s="8">
        <f>'N TRIBUTARIO'!F245</f>
        <v>2</v>
      </c>
      <c r="G27" s="8">
        <f>'N TRIBUTARIO'!G245</f>
        <v>244</v>
      </c>
      <c r="H27" s="8" t="str">
        <f>'N TRIBUTARIO'!H245</f>
        <v>1326</v>
      </c>
      <c r="I27" s="8">
        <f>'N TRIBUTARIO'!I245</f>
        <v>0</v>
      </c>
      <c r="J27" s="8" t="s">
        <v>725</v>
      </c>
      <c r="K27" s="8" t="str">
        <f>'N TRIBUTARIO'!J245</f>
        <v>YOLOAIQUIN</v>
      </c>
      <c r="L27" s="8" t="str">
        <f>'N TRIBUTARIO'!K245</f>
        <v>SUR</v>
      </c>
      <c r="M27" s="8" t="str">
        <f>'N TRIBUTARIO'!L245</f>
        <v>MORAZAN</v>
      </c>
      <c r="N27" s="8">
        <f>'N TRIBUTARIO'!M245</f>
        <v>0</v>
      </c>
      <c r="O27" s="8">
        <f>'N TRIBUTARIO'!N245</f>
        <v>0</v>
      </c>
      <c r="P27" s="8">
        <f>'N TRIBUTARIO'!O245</f>
        <v>0</v>
      </c>
      <c r="Q27" s="8">
        <f>'N TRIBUTARIO'!P245</f>
        <v>0</v>
      </c>
      <c r="R27" s="8">
        <f>'N TRIBUTARIO'!Q245</f>
        <v>0</v>
      </c>
      <c r="S27" s="8">
        <f>'N TRIBUTARIO'!R245</f>
        <v>1</v>
      </c>
      <c r="T27" s="8">
        <f>'N TRIBUTARIO'!S245</f>
        <v>0</v>
      </c>
      <c r="U27" s="8" t="str">
        <f>'N TRIBUTARIO'!T245</f>
        <v>-</v>
      </c>
      <c r="V27" s="8" t="str">
        <f>'N TRIBUTARIO'!U245</f>
        <v xml:space="preserve"> </v>
      </c>
      <c r="W27" s="8" t="str">
        <f>'N TRIBUTARIO'!V245</f>
        <v>YOLOAIQUIN-1326-SUR</v>
      </c>
      <c r="X27" s="8" t="str">
        <f>'N TRIBUTARIO'!W245</f>
        <v>1326-131079-001-2</v>
      </c>
      <c r="Y27" s="8" t="str">
        <f>'N TRIBUTARIO'!X245</f>
        <v>YOLOAIQUIN SUR</v>
      </c>
      <c r="Z27" s="8" t="str">
        <f>'N TRIBUTARIO'!Y245</f>
        <v>1326-131079-001-2 YOLOAIQUIN SUR</v>
      </c>
      <c r="AA27" s="8" t="str">
        <f>'N TRIBUTARIO'!Z245</f>
        <v>1326 YOLOAIQUIN-SUR</v>
      </c>
      <c r="AB27" s="8">
        <f>'N TRIBUTARIO'!AA245</f>
        <v>0</v>
      </c>
      <c r="AC27" s="8">
        <f>'N TRIBUTARIO'!AB245</f>
        <v>0</v>
      </c>
      <c r="AD27" s="8">
        <f>'N TRIBUTARIO'!AC245</f>
        <v>0</v>
      </c>
    </row>
    <row r="28" spans="1:30" ht="19" customHeight="1" x14ac:dyDescent="0.4">
      <c r="N28" s="1">
        <f>SUM(N2:N27)</f>
        <v>0</v>
      </c>
      <c r="O28" s="1">
        <f t="shared" ref="O28:T28" si="0">SUM(O2:O27)</f>
        <v>0</v>
      </c>
      <c r="P28" s="1">
        <f t="shared" si="0"/>
        <v>0</v>
      </c>
      <c r="Q28" s="1">
        <f t="shared" si="0"/>
        <v>11</v>
      </c>
      <c r="R28" s="1">
        <f t="shared" si="0"/>
        <v>0</v>
      </c>
      <c r="S28" s="1">
        <f t="shared" si="0"/>
        <v>15</v>
      </c>
      <c r="T28" s="1">
        <f t="shared" si="0"/>
        <v>0</v>
      </c>
    </row>
    <row r="29" spans="1:30" ht="19" customHeight="1" x14ac:dyDescent="0.4">
      <c r="J29" s="1" t="str">
        <f>Q1</f>
        <v>NORTE</v>
      </c>
      <c r="K29" s="1" t="str">
        <f>CONCATENATE(K2,J2,K3,J3,K4,J4,K8,J8,K11,J11,K12,J12,K15,J15,K17,J17,K19,J19,K21,J21,K25,K25)</f>
        <v>ARAMBALA, CACAOPERA, CORINTO, EL ROSARIO, MORAZAN, JOATECA, JOCOAITIQUE, MEANGUERA, PERQUIN, SAN FERNANDO MORAZAN, SAN ISIDRO MORAZAN, TOROLATOROLA</v>
      </c>
    </row>
    <row r="30" spans="1:30" ht="19" customHeight="1" x14ac:dyDescent="0.4">
      <c r="J30" s="1" t="str">
        <f>S1</f>
        <v>SUR</v>
      </c>
      <c r="K30" s="1" t="str">
        <f>CONCATENATE(K5,J5,K6,J6,K7,J7,K9,J9,K10,J10,K13,J13,K14,J14,K16,J16,K18,J18,K20,J20,K22,J22,K23,J23,K24,J24,K26,J26,K27)</f>
        <v>CHILANGA, DELICIAS DE CONCEPCION , EL DIVISADERO, GUALOCOCTI, GUATAJIAGUA, JOCORO, LOLOTIQUILLO, OSICALA, SAN CARLOS, SAN FRANCISCO GOTERA, SAN SIMON, SENSEMBRA, SOCIEDAD, YAMABAL, YOLOAIQUIN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395</vt:i4>
      </vt:variant>
    </vt:vector>
  </HeadingPairs>
  <TitlesOfParts>
    <vt:vector size="415" baseType="lpstr">
      <vt:lpstr>DEPARTAMENTOS</vt:lpstr>
      <vt:lpstr>municipio</vt:lpstr>
      <vt:lpstr>DISTRITOS</vt:lpstr>
      <vt:lpstr>UNIONDEPTO</vt:lpstr>
      <vt:lpstr>N TRIBUTARIO</vt:lpstr>
      <vt:lpstr>14 LU</vt:lpstr>
      <vt:lpstr>DEPT</vt:lpstr>
      <vt:lpstr>1 ahu</vt:lpstr>
      <vt:lpstr>2 sa</vt:lpstr>
      <vt:lpstr>3 son </vt:lpstr>
      <vt:lpstr>4 cha</vt:lpstr>
      <vt:lpstr>5 LL</vt:lpstr>
      <vt:lpstr>6 ss</vt:lpstr>
      <vt:lpstr>7 cus</vt:lpstr>
      <vt:lpstr>8 lp</vt:lpstr>
      <vt:lpstr>9 cab</vt:lpstr>
      <vt:lpstr>10 sv</vt:lpstr>
      <vt:lpstr>11 usu</vt:lpstr>
      <vt:lpstr>12 sm</vt:lpstr>
      <vt:lpstr>13 mor</vt:lpstr>
      <vt:lpstr>'1 ahu'!AÑO</vt:lpstr>
      <vt:lpstr>'10 sv'!AÑO</vt:lpstr>
      <vt:lpstr>'11 usu'!AÑO</vt:lpstr>
      <vt:lpstr>'12 sm'!AÑO</vt:lpstr>
      <vt:lpstr>'13 mor'!AÑO</vt:lpstr>
      <vt:lpstr>'14 LU'!AÑO</vt:lpstr>
      <vt:lpstr>'2 sa'!AÑO</vt:lpstr>
      <vt:lpstr>'4 cha'!AÑO</vt:lpstr>
      <vt:lpstr>'5 LL'!AÑO</vt:lpstr>
      <vt:lpstr>'7 cus'!AÑO</vt:lpstr>
      <vt:lpstr>'8 lp'!AÑO</vt:lpstr>
      <vt:lpstr>'9 cab'!AÑO</vt:lpstr>
      <vt:lpstr>AÑO</vt:lpstr>
      <vt:lpstr>'1 ahu'!AREAKM2</vt:lpstr>
      <vt:lpstr>'10 sv'!AREAKM2</vt:lpstr>
      <vt:lpstr>'11 usu'!AREAKM2</vt:lpstr>
      <vt:lpstr>'12 sm'!AREAKM2</vt:lpstr>
      <vt:lpstr>'13 mor'!AREAKM2</vt:lpstr>
      <vt:lpstr>'14 LU'!AREAKM2</vt:lpstr>
      <vt:lpstr>'2 sa'!AREAKM2</vt:lpstr>
      <vt:lpstr>'4 cha'!AREAKM2</vt:lpstr>
      <vt:lpstr>'5 LL'!AREAKM2</vt:lpstr>
      <vt:lpstr>'7 cus'!AREAKM2</vt:lpstr>
      <vt:lpstr>'8 lp'!AREAKM2</vt:lpstr>
      <vt:lpstr>'9 cab'!AREAKM2</vt:lpstr>
      <vt:lpstr>AREAKM2</vt:lpstr>
      <vt:lpstr>'1 ahu'!CODIGO</vt:lpstr>
      <vt:lpstr>'10 sv'!CODIGO</vt:lpstr>
      <vt:lpstr>'11 usu'!CODIGO</vt:lpstr>
      <vt:lpstr>'12 sm'!CODIGO</vt:lpstr>
      <vt:lpstr>'13 mor'!CODIGO</vt:lpstr>
      <vt:lpstr>'14 LU'!CODIGO</vt:lpstr>
      <vt:lpstr>'2 sa'!CODIGO</vt:lpstr>
      <vt:lpstr>'4 cha'!CODIGO</vt:lpstr>
      <vt:lpstr>'5 LL'!CODIGO</vt:lpstr>
      <vt:lpstr>'7 cus'!CODIGO</vt:lpstr>
      <vt:lpstr>'8 lp'!CODIGO</vt:lpstr>
      <vt:lpstr>'9 cab'!CODIGO</vt:lpstr>
      <vt:lpstr>CODIGO</vt:lpstr>
      <vt:lpstr>'1 ahu'!CODNOMZ</vt:lpstr>
      <vt:lpstr>'10 sv'!CODNOMZ</vt:lpstr>
      <vt:lpstr>'11 usu'!CODNOMZ</vt:lpstr>
      <vt:lpstr>'12 sm'!CODNOMZ</vt:lpstr>
      <vt:lpstr>'13 mor'!CODNOMZ</vt:lpstr>
      <vt:lpstr>'14 LU'!CODNOMZ</vt:lpstr>
      <vt:lpstr>'2 sa'!CODNOMZ</vt:lpstr>
      <vt:lpstr>'4 cha'!CODNOMZ</vt:lpstr>
      <vt:lpstr>'5 LL'!CODNOMZ</vt:lpstr>
      <vt:lpstr>'7 cus'!CODNOMZ</vt:lpstr>
      <vt:lpstr>'8 lp'!CODNOMZ</vt:lpstr>
      <vt:lpstr>'9 cab'!CODNOMZ</vt:lpstr>
      <vt:lpstr>CODNOMZ</vt:lpstr>
      <vt:lpstr>'1 ahu'!CODZONA</vt:lpstr>
      <vt:lpstr>'10 sv'!CODZONA</vt:lpstr>
      <vt:lpstr>'11 usu'!CODZONA</vt:lpstr>
      <vt:lpstr>'12 sm'!CODZONA</vt:lpstr>
      <vt:lpstr>'13 mor'!CODZONA</vt:lpstr>
      <vt:lpstr>'14 LU'!CODZONA</vt:lpstr>
      <vt:lpstr>'2 sa'!CODZONA</vt:lpstr>
      <vt:lpstr>'4 cha'!CODZONA</vt:lpstr>
      <vt:lpstr>'5 LL'!CODZONA</vt:lpstr>
      <vt:lpstr>'7 cus'!CODZONA</vt:lpstr>
      <vt:lpstr>'8 lp'!CODZONA</vt:lpstr>
      <vt:lpstr>'9 cab'!CODZONA</vt:lpstr>
      <vt:lpstr>CODZONA</vt:lpstr>
      <vt:lpstr>'1 ahu'!CORRELATIVO</vt:lpstr>
      <vt:lpstr>'10 sv'!CORRELATIVO</vt:lpstr>
      <vt:lpstr>'11 usu'!CORRELATIVO</vt:lpstr>
      <vt:lpstr>'12 sm'!CORRELATIVO</vt:lpstr>
      <vt:lpstr>'13 mor'!CORRELATIVO</vt:lpstr>
      <vt:lpstr>'14 LU'!CORRELATIVO</vt:lpstr>
      <vt:lpstr>'2 sa'!CORRELATIVO</vt:lpstr>
      <vt:lpstr>'4 cha'!CORRELATIVO</vt:lpstr>
      <vt:lpstr>'5 LL'!CORRELATIVO</vt:lpstr>
      <vt:lpstr>'7 cus'!CORRELATIVO</vt:lpstr>
      <vt:lpstr>'8 lp'!CORRELATIVO</vt:lpstr>
      <vt:lpstr>'9 cab'!CORRELATIVO</vt:lpstr>
      <vt:lpstr>CORRELATIVO</vt:lpstr>
      <vt:lpstr>'1 ahu'!DENSIDADHABKM2</vt:lpstr>
      <vt:lpstr>'10 sv'!DENSIDADHABKM2</vt:lpstr>
      <vt:lpstr>'11 usu'!DENSIDADHABKM2</vt:lpstr>
      <vt:lpstr>'12 sm'!DENSIDADHABKM2</vt:lpstr>
      <vt:lpstr>'13 mor'!DENSIDADHABKM2</vt:lpstr>
      <vt:lpstr>'14 LU'!DENSIDADHABKM2</vt:lpstr>
      <vt:lpstr>'2 sa'!DENSIDADHABKM2</vt:lpstr>
      <vt:lpstr>'4 cha'!DENSIDADHABKM2</vt:lpstr>
      <vt:lpstr>'5 LL'!DENSIDADHABKM2</vt:lpstr>
      <vt:lpstr>'7 cus'!DENSIDADHABKM2</vt:lpstr>
      <vt:lpstr>'8 lp'!DENSIDADHABKM2</vt:lpstr>
      <vt:lpstr>'9 cab'!DENSIDADHABKM2</vt:lpstr>
      <vt:lpstr>DENSIDADHABKM2</vt:lpstr>
      <vt:lpstr>DEPARTAMENTO</vt:lpstr>
      <vt:lpstr>'1 ahu'!DISTCODZ</vt:lpstr>
      <vt:lpstr>'10 sv'!DISTCODZ</vt:lpstr>
      <vt:lpstr>'11 usu'!DISTCODZ</vt:lpstr>
      <vt:lpstr>'12 sm'!DISTCODZ</vt:lpstr>
      <vt:lpstr>'13 mor'!DISTCODZ</vt:lpstr>
      <vt:lpstr>'14 LU'!DISTCODZ</vt:lpstr>
      <vt:lpstr>'2 sa'!DISTCODZ</vt:lpstr>
      <vt:lpstr>'4 cha'!DISTCODZ</vt:lpstr>
      <vt:lpstr>'5 LL'!DISTCODZ</vt:lpstr>
      <vt:lpstr>'7 cus'!DISTCODZ</vt:lpstr>
      <vt:lpstr>'8 lp'!DISTCODZ</vt:lpstr>
      <vt:lpstr>'9 cab'!DISTCODZ</vt:lpstr>
      <vt:lpstr>DISTCODZ</vt:lpstr>
      <vt:lpstr>DISTRITO</vt:lpstr>
      <vt:lpstr>'1 ahu'!ESPACIO</vt:lpstr>
      <vt:lpstr>'10 sv'!ESPACIO</vt:lpstr>
      <vt:lpstr>'11 usu'!ESPACIO</vt:lpstr>
      <vt:lpstr>'12 sm'!ESPACIO</vt:lpstr>
      <vt:lpstr>'13 mor'!ESPACIO</vt:lpstr>
      <vt:lpstr>'14 LU'!ESPACIO</vt:lpstr>
      <vt:lpstr>'2 sa'!ESPACIO</vt:lpstr>
      <vt:lpstr>'4 cha'!ESPACIO</vt:lpstr>
      <vt:lpstr>'5 LL'!ESPACIO</vt:lpstr>
      <vt:lpstr>'7 cus'!ESPACIO</vt:lpstr>
      <vt:lpstr>'8 lp'!ESPACIO</vt:lpstr>
      <vt:lpstr>'9 cab'!ESPACIO</vt:lpstr>
      <vt:lpstr>ESPACIO</vt:lpstr>
      <vt:lpstr>'1 ahu'!FECHA</vt:lpstr>
      <vt:lpstr>'10 sv'!FECHA</vt:lpstr>
      <vt:lpstr>'11 usu'!FECHA</vt:lpstr>
      <vt:lpstr>'12 sm'!FECHA</vt:lpstr>
      <vt:lpstr>'13 mor'!FECHA</vt:lpstr>
      <vt:lpstr>'14 LU'!FECHA</vt:lpstr>
      <vt:lpstr>'2 sa'!FECHA</vt:lpstr>
      <vt:lpstr>'4 cha'!FECHA</vt:lpstr>
      <vt:lpstr>'5 LL'!FECHA</vt:lpstr>
      <vt:lpstr>'7 cus'!FECHA</vt:lpstr>
      <vt:lpstr>'8 lp'!FECHA</vt:lpstr>
      <vt:lpstr>'9 cab'!FECHA</vt:lpstr>
      <vt:lpstr>FECHA</vt:lpstr>
      <vt:lpstr>'1 ahu'!GUION</vt:lpstr>
      <vt:lpstr>'10 sv'!GUION</vt:lpstr>
      <vt:lpstr>'11 usu'!GUION</vt:lpstr>
      <vt:lpstr>'12 sm'!GUION</vt:lpstr>
      <vt:lpstr>'13 mor'!GUION</vt:lpstr>
      <vt:lpstr>'14 LU'!GUION</vt:lpstr>
      <vt:lpstr>'2 sa'!GUION</vt:lpstr>
      <vt:lpstr>'4 cha'!GUION</vt:lpstr>
      <vt:lpstr>'5 LL'!GUION</vt:lpstr>
      <vt:lpstr>'7 cus'!GUION</vt:lpstr>
      <vt:lpstr>'8 lp'!GUION</vt:lpstr>
      <vt:lpstr>'9 cab'!GUION</vt:lpstr>
      <vt:lpstr>GUION</vt:lpstr>
      <vt:lpstr>ITEMDISTRITO</vt:lpstr>
      <vt:lpstr>ITEMUNICIPIO</vt:lpstr>
      <vt:lpstr>'1 ahu'!MES</vt:lpstr>
      <vt:lpstr>'10 sv'!MES</vt:lpstr>
      <vt:lpstr>'11 usu'!MES</vt:lpstr>
      <vt:lpstr>'12 sm'!MES</vt:lpstr>
      <vt:lpstr>'13 mor'!MES</vt:lpstr>
      <vt:lpstr>'14 LU'!MES</vt:lpstr>
      <vt:lpstr>'2 sa'!MES</vt:lpstr>
      <vt:lpstr>'4 cha'!MES</vt:lpstr>
      <vt:lpstr>'5 LL'!MES</vt:lpstr>
      <vt:lpstr>'7 cus'!MES</vt:lpstr>
      <vt:lpstr>'8 lp'!MES</vt:lpstr>
      <vt:lpstr>'9 cab'!MES</vt:lpstr>
      <vt:lpstr>MES</vt:lpstr>
      <vt:lpstr>MUNICIPIO</vt:lpstr>
      <vt:lpstr>'1 ahu'!NIT</vt:lpstr>
      <vt:lpstr>'10 sv'!NIT</vt:lpstr>
      <vt:lpstr>'11 usu'!NIT</vt:lpstr>
      <vt:lpstr>'12 sm'!NIT</vt:lpstr>
      <vt:lpstr>'13 mor'!NIT</vt:lpstr>
      <vt:lpstr>'14 LU'!NIT</vt:lpstr>
      <vt:lpstr>'2 sa'!NIT</vt:lpstr>
      <vt:lpstr>'4 cha'!NIT</vt:lpstr>
      <vt:lpstr>'5 LL'!NIT</vt:lpstr>
      <vt:lpstr>'7 cus'!NIT</vt:lpstr>
      <vt:lpstr>'8 lp'!NIT</vt:lpstr>
      <vt:lpstr>'9 cab'!NIT</vt:lpstr>
      <vt:lpstr>NIT</vt:lpstr>
      <vt:lpstr>'1 ahu'!NITDISTNOMZONA</vt:lpstr>
      <vt:lpstr>'10 sv'!NITDISTNOMZONA</vt:lpstr>
      <vt:lpstr>'11 usu'!NITDISTNOMZONA</vt:lpstr>
      <vt:lpstr>'12 sm'!NITDISTNOMZONA</vt:lpstr>
      <vt:lpstr>'13 mor'!NITDISTNOMZONA</vt:lpstr>
      <vt:lpstr>'14 LU'!NITDISTNOMZONA</vt:lpstr>
      <vt:lpstr>'2 sa'!NITDISTNOMZONA</vt:lpstr>
      <vt:lpstr>'4 cha'!NITDISTNOMZONA</vt:lpstr>
      <vt:lpstr>'5 LL'!NITDISTNOMZONA</vt:lpstr>
      <vt:lpstr>'7 cus'!NITDISTNOMZONA</vt:lpstr>
      <vt:lpstr>'8 lp'!NITDISTNOMZONA</vt:lpstr>
      <vt:lpstr>'9 cab'!NITDISTNOMZONA</vt:lpstr>
      <vt:lpstr>NITDISTNOMZONA</vt:lpstr>
      <vt:lpstr>'1 ahu'!NOMBREDEPARTAMENTO</vt:lpstr>
      <vt:lpstr>'10 sv'!NOMBREDEPARTAMENTO</vt:lpstr>
      <vt:lpstr>'11 usu'!NOMBREDEPARTAMENTO</vt:lpstr>
      <vt:lpstr>'12 sm'!NOMBREDEPARTAMENTO</vt:lpstr>
      <vt:lpstr>'13 mor'!NOMBREDEPARTAMENTO</vt:lpstr>
      <vt:lpstr>'14 LU'!NOMBREDEPARTAMENTO</vt:lpstr>
      <vt:lpstr>'2 sa'!NOMBREDEPARTAMENTO</vt:lpstr>
      <vt:lpstr>'4 cha'!NOMBREDEPARTAMENTO</vt:lpstr>
      <vt:lpstr>'5 LL'!NOMBREDEPARTAMENTO</vt:lpstr>
      <vt:lpstr>'7 cus'!NOMBREDEPARTAMENTO</vt:lpstr>
      <vt:lpstr>'8 lp'!NOMBREDEPARTAMENTO</vt:lpstr>
      <vt:lpstr>'9 cab'!NOMBREDEPARTAMENTO</vt:lpstr>
      <vt:lpstr>NOMBREDEPARTAMENTO</vt:lpstr>
      <vt:lpstr>'1 ahu'!NOMBREDISTRITO</vt:lpstr>
      <vt:lpstr>'10 sv'!NOMBREDISTRITO</vt:lpstr>
      <vt:lpstr>'11 usu'!NOMBREDISTRITO</vt:lpstr>
      <vt:lpstr>'12 sm'!NOMBREDISTRITO</vt:lpstr>
      <vt:lpstr>'13 mor'!NOMBREDISTRITO</vt:lpstr>
      <vt:lpstr>'14 LU'!NOMBREDISTRITO</vt:lpstr>
      <vt:lpstr>'2 sa'!NOMBREDISTRITO</vt:lpstr>
      <vt:lpstr>'4 cha'!NOMBREDISTRITO</vt:lpstr>
      <vt:lpstr>'5 LL'!NOMBREDISTRITO</vt:lpstr>
      <vt:lpstr>'7 cus'!NOMBREDISTRITO</vt:lpstr>
      <vt:lpstr>'8 lp'!NOMBREDISTRITO</vt:lpstr>
      <vt:lpstr>'9 cab'!NOMBREDISTRITO</vt:lpstr>
      <vt:lpstr>NOMBREDISTRITO</vt:lpstr>
      <vt:lpstr>'1 ahu'!NOMBREDISTRZONA</vt:lpstr>
      <vt:lpstr>'10 sv'!NOMBREDISTRZONA</vt:lpstr>
      <vt:lpstr>'11 usu'!NOMBREDISTRZONA</vt:lpstr>
      <vt:lpstr>'12 sm'!NOMBREDISTRZONA</vt:lpstr>
      <vt:lpstr>'13 mor'!NOMBREDISTRZONA</vt:lpstr>
      <vt:lpstr>'14 LU'!NOMBREDISTRZONA</vt:lpstr>
      <vt:lpstr>'2 sa'!NOMBREDISTRZONA</vt:lpstr>
      <vt:lpstr>'4 cha'!NOMBREDISTRZONA</vt:lpstr>
      <vt:lpstr>'5 LL'!NOMBREDISTRZONA</vt:lpstr>
      <vt:lpstr>'7 cus'!NOMBREDISTRZONA</vt:lpstr>
      <vt:lpstr>'8 lp'!NOMBREDISTRZONA</vt:lpstr>
      <vt:lpstr>'9 cab'!NOMBREDISTRZONA</vt:lpstr>
      <vt:lpstr>NOMBREDISTRZONA</vt:lpstr>
      <vt:lpstr>'1 ahu'!NOMBREZONA</vt:lpstr>
      <vt:lpstr>'10 sv'!NOMBREZONA</vt:lpstr>
      <vt:lpstr>'11 usu'!NOMBREZONA</vt:lpstr>
      <vt:lpstr>'12 sm'!NOMBREZONA</vt:lpstr>
      <vt:lpstr>'13 mor'!NOMBREZONA</vt:lpstr>
      <vt:lpstr>'14 LU'!NOMBREZONA</vt:lpstr>
      <vt:lpstr>'2 sa'!NOMBREZONA</vt:lpstr>
      <vt:lpstr>'4 cha'!NOMBREZONA</vt:lpstr>
      <vt:lpstr>'5 LL'!NOMBREZONA</vt:lpstr>
      <vt:lpstr>'7 cus'!NOMBREZONA</vt:lpstr>
      <vt:lpstr>'8 lp'!NOMBREZONA</vt:lpstr>
      <vt:lpstr>'9 cab'!NOMBREZONA</vt:lpstr>
      <vt:lpstr>NOMBREZONA</vt:lpstr>
      <vt:lpstr>'1 ahu'!NUMDEPTO1</vt:lpstr>
      <vt:lpstr>'10 sv'!NUMDEPTO1</vt:lpstr>
      <vt:lpstr>'11 usu'!NUMDEPTO1</vt:lpstr>
      <vt:lpstr>'12 sm'!NUMDEPTO1</vt:lpstr>
      <vt:lpstr>'13 mor'!NUMDEPTO1</vt:lpstr>
      <vt:lpstr>'14 LU'!NUMDEPTO1</vt:lpstr>
      <vt:lpstr>'2 sa'!NUMDEPTO1</vt:lpstr>
      <vt:lpstr>'4 cha'!NUMDEPTO1</vt:lpstr>
      <vt:lpstr>'5 LL'!NUMDEPTO1</vt:lpstr>
      <vt:lpstr>'7 cus'!NUMDEPTO1</vt:lpstr>
      <vt:lpstr>'8 lp'!NUMDEPTO1</vt:lpstr>
      <vt:lpstr>'9 cab'!NUMDEPTO1</vt:lpstr>
      <vt:lpstr>NUMDEPTO1</vt:lpstr>
      <vt:lpstr>'1 ahu'!NUMERO</vt:lpstr>
      <vt:lpstr>'10 sv'!NUMERO</vt:lpstr>
      <vt:lpstr>'11 usu'!NUMERO</vt:lpstr>
      <vt:lpstr>'12 sm'!NUMERO</vt:lpstr>
      <vt:lpstr>'13 mor'!NUMERO</vt:lpstr>
      <vt:lpstr>'14 LU'!NUMERO</vt:lpstr>
      <vt:lpstr>'2 sa'!NUMERO</vt:lpstr>
      <vt:lpstr>'4 cha'!NUMERO</vt:lpstr>
      <vt:lpstr>'5 LL'!NUMERO</vt:lpstr>
      <vt:lpstr>'7 cus'!NUMERO</vt:lpstr>
      <vt:lpstr>'8 lp'!NUMERO</vt:lpstr>
      <vt:lpstr>'9 cab'!NUMERO</vt:lpstr>
      <vt:lpstr>NUMERO</vt:lpstr>
      <vt:lpstr>'1 ahu'!POBLACION</vt:lpstr>
      <vt:lpstr>'10 sv'!POBLACION</vt:lpstr>
      <vt:lpstr>'11 usu'!POBLACION</vt:lpstr>
      <vt:lpstr>'12 sm'!POBLACION</vt:lpstr>
      <vt:lpstr>'13 mor'!POBLACION</vt:lpstr>
      <vt:lpstr>'14 LU'!POBLACION</vt:lpstr>
      <vt:lpstr>'2 sa'!POBLACION</vt:lpstr>
      <vt:lpstr>'4 cha'!POBLACION</vt:lpstr>
      <vt:lpstr>'5 LL'!POBLACION</vt:lpstr>
      <vt:lpstr>'7 cus'!POBLACION</vt:lpstr>
      <vt:lpstr>'8 lp'!POBLACION</vt:lpstr>
      <vt:lpstr>'9 cab'!POBLACION</vt:lpstr>
      <vt:lpstr>POBLACION</vt:lpstr>
      <vt:lpstr>'1 ahu'!SERIE</vt:lpstr>
      <vt:lpstr>'10 sv'!SERIE</vt:lpstr>
      <vt:lpstr>'11 usu'!SERIE</vt:lpstr>
      <vt:lpstr>'12 sm'!SERIE</vt:lpstr>
      <vt:lpstr>'13 mor'!SERIE</vt:lpstr>
      <vt:lpstr>'14 LU'!SERIE</vt:lpstr>
      <vt:lpstr>'2 sa'!SERIE</vt:lpstr>
      <vt:lpstr>'4 cha'!SERIE</vt:lpstr>
      <vt:lpstr>'5 LL'!SERIE</vt:lpstr>
      <vt:lpstr>'7 cus'!SERIE</vt:lpstr>
      <vt:lpstr>'8 lp'!SERIE</vt:lpstr>
      <vt:lpstr>'9 cab'!SERIE</vt:lpstr>
      <vt:lpstr>SERIE</vt:lpstr>
      <vt:lpstr>'1 ahu'!ZCENTRO</vt:lpstr>
      <vt:lpstr>'10 sv'!ZCENTRO</vt:lpstr>
      <vt:lpstr>'11 usu'!ZCENTRO</vt:lpstr>
      <vt:lpstr>'12 sm'!ZCENTRO</vt:lpstr>
      <vt:lpstr>'13 mor'!ZCENTRO</vt:lpstr>
      <vt:lpstr>'14 LU'!ZCENTRO</vt:lpstr>
      <vt:lpstr>'2 sa'!ZCENTRO</vt:lpstr>
      <vt:lpstr>'4 cha'!ZCENTRO</vt:lpstr>
      <vt:lpstr>'5 LL'!ZCENTRO</vt:lpstr>
      <vt:lpstr>'7 cus'!ZCENTRO</vt:lpstr>
      <vt:lpstr>'8 lp'!ZCENTRO</vt:lpstr>
      <vt:lpstr>'9 cab'!ZCENTRO</vt:lpstr>
      <vt:lpstr>ZCENTRO</vt:lpstr>
      <vt:lpstr>'1 ahu'!ZCOSTA</vt:lpstr>
      <vt:lpstr>'10 sv'!ZCOSTA</vt:lpstr>
      <vt:lpstr>'11 usu'!ZCOSTA</vt:lpstr>
      <vt:lpstr>'12 sm'!ZCOSTA</vt:lpstr>
      <vt:lpstr>'13 mor'!ZCOSTA</vt:lpstr>
      <vt:lpstr>'14 LU'!ZCOSTA</vt:lpstr>
      <vt:lpstr>'2 sa'!ZCOSTA</vt:lpstr>
      <vt:lpstr>'4 cha'!ZCOSTA</vt:lpstr>
      <vt:lpstr>'5 LL'!ZCOSTA</vt:lpstr>
      <vt:lpstr>'7 cus'!ZCOSTA</vt:lpstr>
      <vt:lpstr>'8 lp'!ZCOSTA</vt:lpstr>
      <vt:lpstr>'9 cab'!ZCOSTA</vt:lpstr>
      <vt:lpstr>ZCOSTA</vt:lpstr>
      <vt:lpstr>'1 ahu'!ZESTE</vt:lpstr>
      <vt:lpstr>'10 sv'!ZESTE</vt:lpstr>
      <vt:lpstr>'11 usu'!ZESTE</vt:lpstr>
      <vt:lpstr>'12 sm'!ZESTE</vt:lpstr>
      <vt:lpstr>'13 mor'!ZESTE</vt:lpstr>
      <vt:lpstr>'14 LU'!ZESTE</vt:lpstr>
      <vt:lpstr>'2 sa'!ZESTE</vt:lpstr>
      <vt:lpstr>'4 cha'!ZESTE</vt:lpstr>
      <vt:lpstr>'5 LL'!ZESTE</vt:lpstr>
      <vt:lpstr>'7 cus'!ZESTE</vt:lpstr>
      <vt:lpstr>'8 lp'!ZESTE</vt:lpstr>
      <vt:lpstr>'9 cab'!ZESTE</vt:lpstr>
      <vt:lpstr>ZESTE</vt:lpstr>
      <vt:lpstr>'1 ahu'!ZNODETERMINA</vt:lpstr>
      <vt:lpstr>'10 sv'!ZNODETERMINA</vt:lpstr>
      <vt:lpstr>'11 usu'!ZNODETERMINA</vt:lpstr>
      <vt:lpstr>'12 sm'!ZNODETERMINA</vt:lpstr>
      <vt:lpstr>'13 mor'!ZNODETERMINA</vt:lpstr>
      <vt:lpstr>'14 LU'!ZNODETERMINA</vt:lpstr>
      <vt:lpstr>'2 sa'!ZNODETERMINA</vt:lpstr>
      <vt:lpstr>'4 cha'!ZNODETERMINA</vt:lpstr>
      <vt:lpstr>'5 LL'!ZNODETERMINA</vt:lpstr>
      <vt:lpstr>'7 cus'!ZNODETERMINA</vt:lpstr>
      <vt:lpstr>'8 lp'!ZNODETERMINA</vt:lpstr>
      <vt:lpstr>'9 cab'!ZNODETERMINA</vt:lpstr>
      <vt:lpstr>ZNODETERMINA</vt:lpstr>
      <vt:lpstr>'1 ahu'!ZNORTE</vt:lpstr>
      <vt:lpstr>'10 sv'!ZNORTE</vt:lpstr>
      <vt:lpstr>'11 usu'!ZNORTE</vt:lpstr>
      <vt:lpstr>'12 sm'!ZNORTE</vt:lpstr>
      <vt:lpstr>'13 mor'!ZNORTE</vt:lpstr>
      <vt:lpstr>'14 LU'!ZNORTE</vt:lpstr>
      <vt:lpstr>'2 sa'!ZNORTE</vt:lpstr>
      <vt:lpstr>'4 cha'!ZNORTE</vt:lpstr>
      <vt:lpstr>'5 LL'!ZNORTE</vt:lpstr>
      <vt:lpstr>'7 cus'!ZNORTE</vt:lpstr>
      <vt:lpstr>'8 lp'!ZNORTE</vt:lpstr>
      <vt:lpstr>'9 cab'!ZNORTE</vt:lpstr>
      <vt:lpstr>ZNORTE</vt:lpstr>
      <vt:lpstr>'1 ahu'!ZOESTE</vt:lpstr>
      <vt:lpstr>'10 sv'!ZOESTE</vt:lpstr>
      <vt:lpstr>'11 usu'!ZOESTE</vt:lpstr>
      <vt:lpstr>'12 sm'!ZOESTE</vt:lpstr>
      <vt:lpstr>'13 mor'!ZOESTE</vt:lpstr>
      <vt:lpstr>'14 LU'!ZOESTE</vt:lpstr>
      <vt:lpstr>'2 sa'!ZOESTE</vt:lpstr>
      <vt:lpstr>'4 cha'!ZOESTE</vt:lpstr>
      <vt:lpstr>'5 LL'!ZOESTE</vt:lpstr>
      <vt:lpstr>'7 cus'!ZOESTE</vt:lpstr>
      <vt:lpstr>'8 lp'!ZOESTE</vt:lpstr>
      <vt:lpstr>'9 cab'!ZOESTE</vt:lpstr>
      <vt:lpstr>ZOESTE</vt:lpstr>
      <vt:lpstr>'1 ahu'!ZONA</vt:lpstr>
      <vt:lpstr>'10 sv'!ZONA</vt:lpstr>
      <vt:lpstr>'11 usu'!ZONA</vt:lpstr>
      <vt:lpstr>'12 sm'!ZONA</vt:lpstr>
      <vt:lpstr>'13 mor'!ZONA</vt:lpstr>
      <vt:lpstr>'14 LU'!ZONA</vt:lpstr>
      <vt:lpstr>'2 sa'!ZONA</vt:lpstr>
      <vt:lpstr>'4 cha'!ZONA</vt:lpstr>
      <vt:lpstr>'5 LL'!ZONA</vt:lpstr>
      <vt:lpstr>'7 cus'!ZONA</vt:lpstr>
      <vt:lpstr>'8 lp'!ZONA</vt:lpstr>
      <vt:lpstr>'9 cab'!ZONA</vt:lpstr>
      <vt:lpstr>ZONA</vt:lpstr>
      <vt:lpstr>'1 ahu'!ZSUR</vt:lpstr>
      <vt:lpstr>'10 sv'!ZSUR</vt:lpstr>
      <vt:lpstr>'11 usu'!ZSUR</vt:lpstr>
      <vt:lpstr>'12 sm'!ZSUR</vt:lpstr>
      <vt:lpstr>'13 mor'!ZSUR</vt:lpstr>
      <vt:lpstr>'14 LU'!ZSUR</vt:lpstr>
      <vt:lpstr>'2 sa'!ZSUR</vt:lpstr>
      <vt:lpstr>'4 cha'!ZSUR</vt:lpstr>
      <vt:lpstr>'5 LL'!ZSUR</vt:lpstr>
      <vt:lpstr>'7 cus'!ZSUR</vt:lpstr>
      <vt:lpstr>'8 lp'!ZSUR</vt:lpstr>
      <vt:lpstr>'9 cab'!ZSUR</vt:lpstr>
      <vt:lpstr>ZSUR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Polo</dc:creator>
  <cp:lastModifiedBy>Polo</cp:lastModifiedBy>
  <dcterms:created xsi:type="dcterms:W3CDTF">2026-01-26T02:46:02Z</dcterms:created>
  <dcterms:modified xsi:type="dcterms:W3CDTF">2026-01-26T02:59:26Z</dcterms:modified>
</cp:coreProperties>
</file>